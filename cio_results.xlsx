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ropbox/Work/nagoya/lexicon/"/>
    </mc:Choice>
  </mc:AlternateContent>
  <xr:revisionPtr revIDLastSave="0" documentId="13_ncr:1_{83191726-7D57-5244-91A9-6EA3DAB46819}" xr6:coauthVersionLast="47" xr6:coauthVersionMax="47" xr10:uidLastSave="{00000000-0000-0000-0000-000000000000}"/>
  <bookViews>
    <workbookView xWindow="4540" yWindow="5020" windowWidth="22780" windowHeight="16420" xr2:uid="{00000000-000D-0000-FFFF-FFFF00000000}"/>
  </bookViews>
  <sheets>
    <sheet name="cio_px" sheetId="6" r:id="rId1"/>
    <sheet name="computeP" sheetId="1" r:id="rId2"/>
    <sheet name="computeP_rhyme only" sheetId="5" r:id="rId3"/>
    <sheet name="Sheet2" sheetId="3" r:id="rId4"/>
    <sheet name="Sheet3" sheetId="4" r:id="rId5"/>
  </sheets>
  <definedNames>
    <definedName name="cio_allPossible" localSheetId="0">cio_px!$E$2:$G$705</definedName>
    <definedName name="cio_comparison" localSheetId="0">cio_px!$J$2:$J$705</definedName>
    <definedName name="cio_maxent" localSheetId="1">computeP!$F$2:$H$326</definedName>
    <definedName name="cio_maxent" localSheetId="2">'computeP_rhyme only'!$D$1:$F$325</definedName>
    <definedName name="cio_maxent" localSheetId="3">Sheet2!$D$2:$F$252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D3" i="6" s="1"/>
  <c r="C4" i="6"/>
  <c r="D4" i="6" s="1"/>
  <c r="C5" i="6"/>
  <c r="D5" i="6" s="1"/>
  <c r="C6" i="6"/>
  <c r="D6" i="6" s="1"/>
  <c r="C7" i="6"/>
  <c r="D7" i="6" s="1"/>
  <c r="C8" i="6"/>
  <c r="D8" i="6" s="1"/>
  <c r="C9" i="6"/>
  <c r="D9" i="6" s="1"/>
  <c r="C10" i="6"/>
  <c r="D10" i="6" s="1"/>
  <c r="C11" i="6"/>
  <c r="D11" i="6" s="1"/>
  <c r="C12" i="6"/>
  <c r="D12" i="6" s="1"/>
  <c r="C13" i="6"/>
  <c r="D13" i="6" s="1"/>
  <c r="C14" i="6"/>
  <c r="D14" i="6" s="1"/>
  <c r="C15" i="6"/>
  <c r="D15" i="6" s="1"/>
  <c r="C16" i="6"/>
  <c r="D16" i="6" s="1"/>
  <c r="C17" i="6"/>
  <c r="D17" i="6" s="1"/>
  <c r="C18" i="6"/>
  <c r="D18" i="6" s="1"/>
  <c r="C19" i="6"/>
  <c r="D19" i="6" s="1"/>
  <c r="C20" i="6"/>
  <c r="D20" i="6" s="1"/>
  <c r="C21" i="6"/>
  <c r="D21" i="6" s="1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C152" i="6"/>
  <c r="D152" i="6" s="1"/>
  <c r="C153" i="6"/>
  <c r="D153" i="6" s="1"/>
  <c r="C154" i="6"/>
  <c r="D154" i="6" s="1"/>
  <c r="C155" i="6"/>
  <c r="D155" i="6" s="1"/>
  <c r="C156" i="6"/>
  <c r="D156" i="6" s="1"/>
  <c r="C157" i="6"/>
  <c r="D157" i="6" s="1"/>
  <c r="C158" i="6"/>
  <c r="D158" i="6" s="1"/>
  <c r="C159" i="6"/>
  <c r="D159" i="6" s="1"/>
  <c r="C160" i="6"/>
  <c r="D160" i="6" s="1"/>
  <c r="C161" i="6"/>
  <c r="D161" i="6" s="1"/>
  <c r="C162" i="6"/>
  <c r="D162" i="6" s="1"/>
  <c r="C163" i="6"/>
  <c r="D163" i="6" s="1"/>
  <c r="C164" i="6"/>
  <c r="D164" i="6" s="1"/>
  <c r="C165" i="6"/>
  <c r="D165" i="6" s="1"/>
  <c r="C166" i="6"/>
  <c r="D166" i="6" s="1"/>
  <c r="C167" i="6"/>
  <c r="D167" i="6" s="1"/>
  <c r="C168" i="6"/>
  <c r="D168" i="6" s="1"/>
  <c r="C169" i="6"/>
  <c r="D169" i="6" s="1"/>
  <c r="C170" i="6"/>
  <c r="D170" i="6" s="1"/>
  <c r="C171" i="6"/>
  <c r="D171" i="6" s="1"/>
  <c r="C172" i="6"/>
  <c r="D172" i="6" s="1"/>
  <c r="C173" i="6"/>
  <c r="D173" i="6" s="1"/>
  <c r="C174" i="6"/>
  <c r="D174" i="6" s="1"/>
  <c r="C175" i="6"/>
  <c r="D175" i="6" s="1"/>
  <c r="C176" i="6"/>
  <c r="D176" i="6" s="1"/>
  <c r="C177" i="6"/>
  <c r="D177" i="6" s="1"/>
  <c r="C178" i="6"/>
  <c r="D178" i="6" s="1"/>
  <c r="C179" i="6"/>
  <c r="D179" i="6" s="1"/>
  <c r="C180" i="6"/>
  <c r="D180" i="6" s="1"/>
  <c r="C181" i="6"/>
  <c r="D181" i="6" s="1"/>
  <c r="C182" i="6"/>
  <c r="D182" i="6" s="1"/>
  <c r="C183" i="6"/>
  <c r="D183" i="6" s="1"/>
  <c r="C184" i="6"/>
  <c r="D184" i="6" s="1"/>
  <c r="C185" i="6"/>
  <c r="D185" i="6" s="1"/>
  <c r="C186" i="6"/>
  <c r="D186" i="6" s="1"/>
  <c r="C187" i="6"/>
  <c r="D187" i="6" s="1"/>
  <c r="C188" i="6"/>
  <c r="D188" i="6" s="1"/>
  <c r="C189" i="6"/>
  <c r="D189" i="6" s="1"/>
  <c r="C190" i="6"/>
  <c r="D190" i="6" s="1"/>
  <c r="C191" i="6"/>
  <c r="D191" i="6" s="1"/>
  <c r="C192" i="6"/>
  <c r="D192" i="6" s="1"/>
  <c r="C193" i="6"/>
  <c r="D193" i="6" s="1"/>
  <c r="C194" i="6"/>
  <c r="D194" i="6" s="1"/>
  <c r="C195" i="6"/>
  <c r="D195" i="6" s="1"/>
  <c r="C196" i="6"/>
  <c r="D196" i="6" s="1"/>
  <c r="C197" i="6"/>
  <c r="D197" i="6" s="1"/>
  <c r="C198" i="6"/>
  <c r="D198" i="6" s="1"/>
  <c r="C199" i="6"/>
  <c r="D199" i="6" s="1"/>
  <c r="C200" i="6"/>
  <c r="D200" i="6" s="1"/>
  <c r="C201" i="6"/>
  <c r="D201" i="6" s="1"/>
  <c r="C202" i="6"/>
  <c r="D202" i="6" s="1"/>
  <c r="C203" i="6"/>
  <c r="D203" i="6" s="1"/>
  <c r="C204" i="6"/>
  <c r="D204" i="6" s="1"/>
  <c r="C205" i="6"/>
  <c r="D205" i="6" s="1"/>
  <c r="C206" i="6"/>
  <c r="D206" i="6" s="1"/>
  <c r="C207" i="6"/>
  <c r="D207" i="6" s="1"/>
  <c r="C208" i="6"/>
  <c r="D208" i="6" s="1"/>
  <c r="C209" i="6"/>
  <c r="D209" i="6" s="1"/>
  <c r="C210" i="6"/>
  <c r="D210" i="6" s="1"/>
  <c r="C211" i="6"/>
  <c r="D211" i="6" s="1"/>
  <c r="C212" i="6"/>
  <c r="D212" i="6" s="1"/>
  <c r="C213" i="6"/>
  <c r="D213" i="6" s="1"/>
  <c r="C214" i="6"/>
  <c r="D214" i="6" s="1"/>
  <c r="C215" i="6"/>
  <c r="D215" i="6" s="1"/>
  <c r="C216" i="6"/>
  <c r="D216" i="6" s="1"/>
  <c r="C217" i="6"/>
  <c r="D217" i="6" s="1"/>
  <c r="C218" i="6"/>
  <c r="D218" i="6" s="1"/>
  <c r="C219" i="6"/>
  <c r="D219" i="6" s="1"/>
  <c r="C220" i="6"/>
  <c r="D220" i="6" s="1"/>
  <c r="C221" i="6"/>
  <c r="D221" i="6" s="1"/>
  <c r="C222" i="6"/>
  <c r="D222" i="6" s="1"/>
  <c r="C223" i="6"/>
  <c r="D223" i="6" s="1"/>
  <c r="C224" i="6"/>
  <c r="D224" i="6" s="1"/>
  <c r="C225" i="6"/>
  <c r="D225" i="6" s="1"/>
  <c r="C226" i="6"/>
  <c r="D226" i="6" s="1"/>
  <c r="C227" i="6"/>
  <c r="D227" i="6" s="1"/>
  <c r="C228" i="6"/>
  <c r="D228" i="6" s="1"/>
  <c r="C229" i="6"/>
  <c r="D229" i="6" s="1"/>
  <c r="C230" i="6"/>
  <c r="D230" i="6" s="1"/>
  <c r="C231" i="6"/>
  <c r="D231" i="6" s="1"/>
  <c r="C232" i="6"/>
  <c r="D232" i="6" s="1"/>
  <c r="C233" i="6"/>
  <c r="D233" i="6" s="1"/>
  <c r="C234" i="6"/>
  <c r="D234" i="6" s="1"/>
  <c r="C235" i="6"/>
  <c r="D235" i="6" s="1"/>
  <c r="C236" i="6"/>
  <c r="D236" i="6" s="1"/>
  <c r="C237" i="6"/>
  <c r="D237" i="6" s="1"/>
  <c r="C238" i="6"/>
  <c r="D238" i="6" s="1"/>
  <c r="C239" i="6"/>
  <c r="D239" i="6" s="1"/>
  <c r="C240" i="6"/>
  <c r="D240" i="6" s="1"/>
  <c r="C241" i="6"/>
  <c r="D241" i="6" s="1"/>
  <c r="C242" i="6"/>
  <c r="D242" i="6" s="1"/>
  <c r="C243" i="6"/>
  <c r="D243" i="6" s="1"/>
  <c r="C244" i="6"/>
  <c r="D244" i="6" s="1"/>
  <c r="C245" i="6"/>
  <c r="D245" i="6" s="1"/>
  <c r="C246" i="6"/>
  <c r="D246" i="6" s="1"/>
  <c r="C247" i="6"/>
  <c r="D247" i="6" s="1"/>
  <c r="C248" i="6"/>
  <c r="D248" i="6" s="1"/>
  <c r="C249" i="6"/>
  <c r="D249" i="6" s="1"/>
  <c r="C250" i="6"/>
  <c r="D250" i="6" s="1"/>
  <c r="C251" i="6"/>
  <c r="D251" i="6" s="1"/>
  <c r="C252" i="6"/>
  <c r="D252" i="6" s="1"/>
  <c r="C253" i="6"/>
  <c r="D253" i="6" s="1"/>
  <c r="C254" i="6"/>
  <c r="D254" i="6" s="1"/>
  <c r="C255" i="6"/>
  <c r="D255" i="6" s="1"/>
  <c r="C256" i="6"/>
  <c r="D256" i="6" s="1"/>
  <c r="C257" i="6"/>
  <c r="D257" i="6" s="1"/>
  <c r="C258" i="6"/>
  <c r="D258" i="6" s="1"/>
  <c r="C259" i="6"/>
  <c r="D259" i="6" s="1"/>
  <c r="C260" i="6"/>
  <c r="D260" i="6" s="1"/>
  <c r="C261" i="6"/>
  <c r="D261" i="6" s="1"/>
  <c r="C262" i="6"/>
  <c r="D262" i="6" s="1"/>
  <c r="C263" i="6"/>
  <c r="D263" i="6" s="1"/>
  <c r="C264" i="6"/>
  <c r="D264" i="6" s="1"/>
  <c r="C265" i="6"/>
  <c r="D265" i="6" s="1"/>
  <c r="C266" i="6"/>
  <c r="D266" i="6" s="1"/>
  <c r="C267" i="6"/>
  <c r="D267" i="6" s="1"/>
  <c r="C268" i="6"/>
  <c r="D268" i="6" s="1"/>
  <c r="C269" i="6"/>
  <c r="D269" i="6" s="1"/>
  <c r="C270" i="6"/>
  <c r="D270" i="6" s="1"/>
  <c r="C271" i="6"/>
  <c r="D271" i="6" s="1"/>
  <c r="C272" i="6"/>
  <c r="D272" i="6" s="1"/>
  <c r="C273" i="6"/>
  <c r="D273" i="6" s="1"/>
  <c r="C274" i="6"/>
  <c r="D274" i="6" s="1"/>
  <c r="C275" i="6"/>
  <c r="D275" i="6" s="1"/>
  <c r="C276" i="6"/>
  <c r="D276" i="6" s="1"/>
  <c r="C277" i="6"/>
  <c r="D277" i="6" s="1"/>
  <c r="C278" i="6"/>
  <c r="D278" i="6" s="1"/>
  <c r="C279" i="6"/>
  <c r="D279" i="6" s="1"/>
  <c r="C280" i="6"/>
  <c r="D280" i="6" s="1"/>
  <c r="C281" i="6"/>
  <c r="D281" i="6" s="1"/>
  <c r="C282" i="6"/>
  <c r="D282" i="6" s="1"/>
  <c r="C283" i="6"/>
  <c r="D283" i="6" s="1"/>
  <c r="C284" i="6"/>
  <c r="D284" i="6" s="1"/>
  <c r="C285" i="6"/>
  <c r="D285" i="6" s="1"/>
  <c r="C286" i="6"/>
  <c r="D286" i="6" s="1"/>
  <c r="C287" i="6"/>
  <c r="D287" i="6" s="1"/>
  <c r="C288" i="6"/>
  <c r="D288" i="6" s="1"/>
  <c r="C289" i="6"/>
  <c r="D289" i="6" s="1"/>
  <c r="C290" i="6"/>
  <c r="D290" i="6" s="1"/>
  <c r="C291" i="6"/>
  <c r="D291" i="6" s="1"/>
  <c r="C292" i="6"/>
  <c r="D292" i="6" s="1"/>
  <c r="C293" i="6"/>
  <c r="D293" i="6" s="1"/>
  <c r="C294" i="6"/>
  <c r="D294" i="6" s="1"/>
  <c r="C295" i="6"/>
  <c r="D295" i="6" s="1"/>
  <c r="C296" i="6"/>
  <c r="D296" i="6" s="1"/>
  <c r="C297" i="6"/>
  <c r="D297" i="6" s="1"/>
  <c r="C298" i="6"/>
  <c r="D298" i="6" s="1"/>
  <c r="C299" i="6"/>
  <c r="D299" i="6" s="1"/>
  <c r="C300" i="6"/>
  <c r="D300" i="6" s="1"/>
  <c r="C301" i="6"/>
  <c r="D301" i="6" s="1"/>
  <c r="C302" i="6"/>
  <c r="D302" i="6" s="1"/>
  <c r="C303" i="6"/>
  <c r="D303" i="6" s="1"/>
  <c r="C304" i="6"/>
  <c r="D304" i="6" s="1"/>
  <c r="C305" i="6"/>
  <c r="D305" i="6" s="1"/>
  <c r="C306" i="6"/>
  <c r="D306" i="6" s="1"/>
  <c r="C307" i="6"/>
  <c r="D307" i="6" s="1"/>
  <c r="C308" i="6"/>
  <c r="D308" i="6" s="1"/>
  <c r="C309" i="6"/>
  <c r="D309" i="6" s="1"/>
  <c r="C310" i="6"/>
  <c r="D310" i="6" s="1"/>
  <c r="C311" i="6"/>
  <c r="D311" i="6" s="1"/>
  <c r="C312" i="6"/>
  <c r="D312" i="6" s="1"/>
  <c r="C313" i="6"/>
  <c r="D313" i="6" s="1"/>
  <c r="C314" i="6"/>
  <c r="D314" i="6" s="1"/>
  <c r="C315" i="6"/>
  <c r="D315" i="6" s="1"/>
  <c r="C316" i="6"/>
  <c r="D316" i="6" s="1"/>
  <c r="C317" i="6"/>
  <c r="D317" i="6" s="1"/>
  <c r="C318" i="6"/>
  <c r="D318" i="6" s="1"/>
  <c r="C319" i="6"/>
  <c r="D319" i="6" s="1"/>
  <c r="C320" i="6"/>
  <c r="D320" i="6" s="1"/>
  <c r="C321" i="6"/>
  <c r="D321" i="6" s="1"/>
  <c r="C322" i="6"/>
  <c r="D322" i="6" s="1"/>
  <c r="C323" i="6"/>
  <c r="D323" i="6" s="1"/>
  <c r="C324" i="6"/>
  <c r="D324" i="6" s="1"/>
  <c r="C325" i="6"/>
  <c r="D325" i="6" s="1"/>
  <c r="C326" i="6"/>
  <c r="D326" i="6" s="1"/>
  <c r="C327" i="6"/>
  <c r="D327" i="6" s="1"/>
  <c r="C328" i="6"/>
  <c r="D328" i="6" s="1"/>
  <c r="C329" i="6"/>
  <c r="D329" i="6" s="1"/>
  <c r="C330" i="6"/>
  <c r="D330" i="6" s="1"/>
  <c r="C331" i="6"/>
  <c r="D331" i="6" s="1"/>
  <c r="C332" i="6"/>
  <c r="D332" i="6" s="1"/>
  <c r="C333" i="6"/>
  <c r="D333" i="6" s="1"/>
  <c r="C334" i="6"/>
  <c r="D334" i="6" s="1"/>
  <c r="C335" i="6"/>
  <c r="D335" i="6" s="1"/>
  <c r="C336" i="6"/>
  <c r="D336" i="6" s="1"/>
  <c r="C337" i="6"/>
  <c r="D337" i="6" s="1"/>
  <c r="C338" i="6"/>
  <c r="D338" i="6" s="1"/>
  <c r="C339" i="6"/>
  <c r="D339" i="6" s="1"/>
  <c r="C340" i="6"/>
  <c r="D340" i="6" s="1"/>
  <c r="C341" i="6"/>
  <c r="D341" i="6" s="1"/>
  <c r="C342" i="6"/>
  <c r="D342" i="6" s="1"/>
  <c r="C343" i="6"/>
  <c r="D343" i="6" s="1"/>
  <c r="C344" i="6"/>
  <c r="D344" i="6" s="1"/>
  <c r="C345" i="6"/>
  <c r="D345" i="6" s="1"/>
  <c r="C346" i="6"/>
  <c r="D346" i="6" s="1"/>
  <c r="C347" i="6"/>
  <c r="D347" i="6" s="1"/>
  <c r="C348" i="6"/>
  <c r="D348" i="6" s="1"/>
  <c r="C349" i="6"/>
  <c r="D349" i="6" s="1"/>
  <c r="C350" i="6"/>
  <c r="D350" i="6" s="1"/>
  <c r="C351" i="6"/>
  <c r="D351" i="6" s="1"/>
  <c r="C352" i="6"/>
  <c r="D352" i="6" s="1"/>
  <c r="C353" i="6"/>
  <c r="D353" i="6" s="1"/>
  <c r="C354" i="6"/>
  <c r="D354" i="6" s="1"/>
  <c r="C355" i="6"/>
  <c r="D355" i="6" s="1"/>
  <c r="C356" i="6"/>
  <c r="D356" i="6" s="1"/>
  <c r="C357" i="6"/>
  <c r="D357" i="6" s="1"/>
  <c r="C358" i="6"/>
  <c r="D358" i="6" s="1"/>
  <c r="C359" i="6"/>
  <c r="D359" i="6" s="1"/>
  <c r="C360" i="6"/>
  <c r="D360" i="6" s="1"/>
  <c r="C361" i="6"/>
  <c r="D361" i="6" s="1"/>
  <c r="C362" i="6"/>
  <c r="D362" i="6" s="1"/>
  <c r="C363" i="6"/>
  <c r="D363" i="6" s="1"/>
  <c r="C364" i="6"/>
  <c r="D364" i="6" s="1"/>
  <c r="C365" i="6"/>
  <c r="D365" i="6" s="1"/>
  <c r="C366" i="6"/>
  <c r="D366" i="6" s="1"/>
  <c r="C367" i="6"/>
  <c r="D367" i="6" s="1"/>
  <c r="C368" i="6"/>
  <c r="D368" i="6" s="1"/>
  <c r="C369" i="6"/>
  <c r="D369" i="6" s="1"/>
  <c r="C370" i="6"/>
  <c r="D370" i="6" s="1"/>
  <c r="C371" i="6"/>
  <c r="D371" i="6" s="1"/>
  <c r="C372" i="6"/>
  <c r="D372" i="6" s="1"/>
  <c r="C373" i="6"/>
  <c r="D373" i="6" s="1"/>
  <c r="C374" i="6"/>
  <c r="D374" i="6" s="1"/>
  <c r="C375" i="6"/>
  <c r="D375" i="6" s="1"/>
  <c r="C376" i="6"/>
  <c r="D376" i="6" s="1"/>
  <c r="C377" i="6"/>
  <c r="D377" i="6" s="1"/>
  <c r="C378" i="6"/>
  <c r="D378" i="6" s="1"/>
  <c r="C379" i="6"/>
  <c r="D379" i="6" s="1"/>
  <c r="C380" i="6"/>
  <c r="D380" i="6" s="1"/>
  <c r="C381" i="6"/>
  <c r="D381" i="6" s="1"/>
  <c r="C382" i="6"/>
  <c r="D382" i="6" s="1"/>
  <c r="C383" i="6"/>
  <c r="D383" i="6" s="1"/>
  <c r="C384" i="6"/>
  <c r="D384" i="6" s="1"/>
  <c r="C385" i="6"/>
  <c r="D385" i="6" s="1"/>
  <c r="C386" i="6"/>
  <c r="D386" i="6" s="1"/>
  <c r="C387" i="6"/>
  <c r="D387" i="6" s="1"/>
  <c r="C388" i="6"/>
  <c r="D388" i="6" s="1"/>
  <c r="C389" i="6"/>
  <c r="D389" i="6" s="1"/>
  <c r="C390" i="6"/>
  <c r="D390" i="6" s="1"/>
  <c r="C391" i="6"/>
  <c r="D391" i="6" s="1"/>
  <c r="C392" i="6"/>
  <c r="D392" i="6" s="1"/>
  <c r="C393" i="6"/>
  <c r="D393" i="6" s="1"/>
  <c r="C394" i="6"/>
  <c r="D394" i="6" s="1"/>
  <c r="C395" i="6"/>
  <c r="D395" i="6" s="1"/>
  <c r="C396" i="6"/>
  <c r="D396" i="6" s="1"/>
  <c r="C397" i="6"/>
  <c r="D397" i="6" s="1"/>
  <c r="C398" i="6"/>
  <c r="D398" i="6" s="1"/>
  <c r="C399" i="6"/>
  <c r="D399" i="6" s="1"/>
  <c r="C400" i="6"/>
  <c r="D400" i="6" s="1"/>
  <c r="C401" i="6"/>
  <c r="D401" i="6" s="1"/>
  <c r="C402" i="6"/>
  <c r="D402" i="6" s="1"/>
  <c r="C403" i="6"/>
  <c r="D403" i="6" s="1"/>
  <c r="C404" i="6"/>
  <c r="D404" i="6" s="1"/>
  <c r="C405" i="6"/>
  <c r="D405" i="6" s="1"/>
  <c r="C406" i="6"/>
  <c r="D406" i="6" s="1"/>
  <c r="C407" i="6"/>
  <c r="D407" i="6" s="1"/>
  <c r="C408" i="6"/>
  <c r="D408" i="6" s="1"/>
  <c r="C409" i="6"/>
  <c r="D409" i="6" s="1"/>
  <c r="C410" i="6"/>
  <c r="D410" i="6" s="1"/>
  <c r="C411" i="6"/>
  <c r="D411" i="6" s="1"/>
  <c r="C412" i="6"/>
  <c r="D412" i="6" s="1"/>
  <c r="C413" i="6"/>
  <c r="D413" i="6" s="1"/>
  <c r="C414" i="6"/>
  <c r="D414" i="6" s="1"/>
  <c r="C415" i="6"/>
  <c r="D415" i="6" s="1"/>
  <c r="C416" i="6"/>
  <c r="D416" i="6" s="1"/>
  <c r="C417" i="6"/>
  <c r="D417" i="6" s="1"/>
  <c r="C418" i="6"/>
  <c r="D418" i="6" s="1"/>
  <c r="C419" i="6"/>
  <c r="D419" i="6" s="1"/>
  <c r="C420" i="6"/>
  <c r="D420" i="6" s="1"/>
  <c r="C421" i="6"/>
  <c r="D421" i="6" s="1"/>
  <c r="C422" i="6"/>
  <c r="D422" i="6" s="1"/>
  <c r="C423" i="6"/>
  <c r="D423" i="6" s="1"/>
  <c r="C424" i="6"/>
  <c r="D424" i="6" s="1"/>
  <c r="C425" i="6"/>
  <c r="D425" i="6" s="1"/>
  <c r="C426" i="6"/>
  <c r="D426" i="6" s="1"/>
  <c r="C427" i="6"/>
  <c r="D427" i="6" s="1"/>
  <c r="C428" i="6"/>
  <c r="D428" i="6" s="1"/>
  <c r="C429" i="6"/>
  <c r="D429" i="6" s="1"/>
  <c r="C430" i="6"/>
  <c r="D430" i="6" s="1"/>
  <c r="C431" i="6"/>
  <c r="D431" i="6" s="1"/>
  <c r="C432" i="6"/>
  <c r="D432" i="6" s="1"/>
  <c r="C433" i="6"/>
  <c r="D433" i="6" s="1"/>
  <c r="C434" i="6"/>
  <c r="D434" i="6" s="1"/>
  <c r="C435" i="6"/>
  <c r="D435" i="6" s="1"/>
  <c r="C436" i="6"/>
  <c r="D436" i="6" s="1"/>
  <c r="C437" i="6"/>
  <c r="D437" i="6" s="1"/>
  <c r="C438" i="6"/>
  <c r="D438" i="6" s="1"/>
  <c r="C439" i="6"/>
  <c r="D439" i="6" s="1"/>
  <c r="C440" i="6"/>
  <c r="D440" i="6" s="1"/>
  <c r="C441" i="6"/>
  <c r="D441" i="6" s="1"/>
  <c r="C442" i="6"/>
  <c r="D442" i="6" s="1"/>
  <c r="C443" i="6"/>
  <c r="D443" i="6" s="1"/>
  <c r="C444" i="6"/>
  <c r="D444" i="6" s="1"/>
  <c r="C445" i="6"/>
  <c r="D445" i="6" s="1"/>
  <c r="C446" i="6"/>
  <c r="D446" i="6" s="1"/>
  <c r="C447" i="6"/>
  <c r="D447" i="6" s="1"/>
  <c r="C448" i="6"/>
  <c r="D448" i="6" s="1"/>
  <c r="C449" i="6"/>
  <c r="D449" i="6" s="1"/>
  <c r="C450" i="6"/>
  <c r="D450" i="6" s="1"/>
  <c r="C451" i="6"/>
  <c r="D451" i="6" s="1"/>
  <c r="C452" i="6"/>
  <c r="D452" i="6" s="1"/>
  <c r="C453" i="6"/>
  <c r="D453" i="6" s="1"/>
  <c r="C454" i="6"/>
  <c r="D454" i="6" s="1"/>
  <c r="C455" i="6"/>
  <c r="D455" i="6" s="1"/>
  <c r="C456" i="6"/>
  <c r="D456" i="6" s="1"/>
  <c r="C457" i="6"/>
  <c r="D457" i="6" s="1"/>
  <c r="C458" i="6"/>
  <c r="D458" i="6" s="1"/>
  <c r="C459" i="6"/>
  <c r="D459" i="6" s="1"/>
  <c r="C460" i="6"/>
  <c r="D460" i="6" s="1"/>
  <c r="C461" i="6"/>
  <c r="D461" i="6" s="1"/>
  <c r="C462" i="6"/>
  <c r="D462" i="6" s="1"/>
  <c r="C463" i="6"/>
  <c r="D463" i="6" s="1"/>
  <c r="C464" i="6"/>
  <c r="D464" i="6" s="1"/>
  <c r="C465" i="6"/>
  <c r="D465" i="6" s="1"/>
  <c r="C466" i="6"/>
  <c r="D466" i="6" s="1"/>
  <c r="C467" i="6"/>
  <c r="D467" i="6" s="1"/>
  <c r="C468" i="6"/>
  <c r="D468" i="6" s="1"/>
  <c r="C469" i="6"/>
  <c r="D469" i="6" s="1"/>
  <c r="C470" i="6"/>
  <c r="D470" i="6" s="1"/>
  <c r="C471" i="6"/>
  <c r="D471" i="6" s="1"/>
  <c r="C472" i="6"/>
  <c r="D472" i="6" s="1"/>
  <c r="C473" i="6"/>
  <c r="D473" i="6" s="1"/>
  <c r="C474" i="6"/>
  <c r="D474" i="6" s="1"/>
  <c r="C475" i="6"/>
  <c r="D475" i="6" s="1"/>
  <c r="C476" i="6"/>
  <c r="D476" i="6" s="1"/>
  <c r="C477" i="6"/>
  <c r="D477" i="6" s="1"/>
  <c r="C478" i="6"/>
  <c r="D478" i="6" s="1"/>
  <c r="C479" i="6"/>
  <c r="D479" i="6" s="1"/>
  <c r="C480" i="6"/>
  <c r="D480" i="6" s="1"/>
  <c r="C481" i="6"/>
  <c r="D481" i="6" s="1"/>
  <c r="C482" i="6"/>
  <c r="D482" i="6" s="1"/>
  <c r="C483" i="6"/>
  <c r="D483" i="6" s="1"/>
  <c r="C484" i="6"/>
  <c r="D484" i="6" s="1"/>
  <c r="C485" i="6"/>
  <c r="D485" i="6" s="1"/>
  <c r="C486" i="6"/>
  <c r="D486" i="6" s="1"/>
  <c r="C487" i="6"/>
  <c r="D487" i="6" s="1"/>
  <c r="C488" i="6"/>
  <c r="D488" i="6" s="1"/>
  <c r="C489" i="6"/>
  <c r="D489" i="6" s="1"/>
  <c r="C490" i="6"/>
  <c r="D490" i="6" s="1"/>
  <c r="C491" i="6"/>
  <c r="D491" i="6" s="1"/>
  <c r="C492" i="6"/>
  <c r="D492" i="6" s="1"/>
  <c r="C493" i="6"/>
  <c r="D493" i="6" s="1"/>
  <c r="C494" i="6"/>
  <c r="D494" i="6" s="1"/>
  <c r="C495" i="6"/>
  <c r="D495" i="6" s="1"/>
  <c r="C496" i="6"/>
  <c r="D496" i="6" s="1"/>
  <c r="C497" i="6"/>
  <c r="D497" i="6" s="1"/>
  <c r="C498" i="6"/>
  <c r="D498" i="6" s="1"/>
  <c r="C499" i="6"/>
  <c r="D499" i="6" s="1"/>
  <c r="C500" i="6"/>
  <c r="D500" i="6" s="1"/>
  <c r="C501" i="6"/>
  <c r="D501" i="6" s="1"/>
  <c r="C502" i="6"/>
  <c r="D502" i="6" s="1"/>
  <c r="C503" i="6"/>
  <c r="D503" i="6" s="1"/>
  <c r="C504" i="6"/>
  <c r="D504" i="6" s="1"/>
  <c r="C505" i="6"/>
  <c r="D505" i="6" s="1"/>
  <c r="C506" i="6"/>
  <c r="D506" i="6" s="1"/>
  <c r="C507" i="6"/>
  <c r="D507" i="6" s="1"/>
  <c r="C508" i="6"/>
  <c r="D508" i="6" s="1"/>
  <c r="C509" i="6"/>
  <c r="D509" i="6" s="1"/>
  <c r="C510" i="6"/>
  <c r="D510" i="6" s="1"/>
  <c r="C511" i="6"/>
  <c r="D511" i="6" s="1"/>
  <c r="C512" i="6"/>
  <c r="D512" i="6" s="1"/>
  <c r="C513" i="6"/>
  <c r="D513" i="6" s="1"/>
  <c r="C514" i="6"/>
  <c r="D514" i="6" s="1"/>
  <c r="C515" i="6"/>
  <c r="D515" i="6" s="1"/>
  <c r="C516" i="6"/>
  <c r="D516" i="6" s="1"/>
  <c r="C517" i="6"/>
  <c r="D517" i="6" s="1"/>
  <c r="C518" i="6"/>
  <c r="D518" i="6" s="1"/>
  <c r="C519" i="6"/>
  <c r="D519" i="6" s="1"/>
  <c r="C520" i="6"/>
  <c r="D520" i="6" s="1"/>
  <c r="C521" i="6"/>
  <c r="D521" i="6" s="1"/>
  <c r="C522" i="6"/>
  <c r="D522" i="6" s="1"/>
  <c r="C523" i="6"/>
  <c r="D523" i="6" s="1"/>
  <c r="C524" i="6"/>
  <c r="D524" i="6" s="1"/>
  <c r="C525" i="6"/>
  <c r="D525" i="6" s="1"/>
  <c r="C526" i="6"/>
  <c r="D526" i="6" s="1"/>
  <c r="C527" i="6"/>
  <c r="D527" i="6" s="1"/>
  <c r="C528" i="6"/>
  <c r="D528" i="6" s="1"/>
  <c r="C529" i="6"/>
  <c r="D529" i="6" s="1"/>
  <c r="C530" i="6"/>
  <c r="D530" i="6" s="1"/>
  <c r="C531" i="6"/>
  <c r="D531" i="6" s="1"/>
  <c r="C532" i="6"/>
  <c r="D532" i="6" s="1"/>
  <c r="C533" i="6"/>
  <c r="D533" i="6" s="1"/>
  <c r="C534" i="6"/>
  <c r="D534" i="6" s="1"/>
  <c r="C535" i="6"/>
  <c r="D535" i="6" s="1"/>
  <c r="C536" i="6"/>
  <c r="D536" i="6" s="1"/>
  <c r="C537" i="6"/>
  <c r="D537" i="6" s="1"/>
  <c r="C538" i="6"/>
  <c r="D538" i="6" s="1"/>
  <c r="C539" i="6"/>
  <c r="D539" i="6" s="1"/>
  <c r="C540" i="6"/>
  <c r="D540" i="6" s="1"/>
  <c r="C541" i="6"/>
  <c r="D541" i="6" s="1"/>
  <c r="C542" i="6"/>
  <c r="D542" i="6" s="1"/>
  <c r="C543" i="6"/>
  <c r="D543" i="6" s="1"/>
  <c r="C544" i="6"/>
  <c r="D544" i="6" s="1"/>
  <c r="C545" i="6"/>
  <c r="D545" i="6" s="1"/>
  <c r="C546" i="6"/>
  <c r="D546" i="6" s="1"/>
  <c r="C547" i="6"/>
  <c r="D547" i="6" s="1"/>
  <c r="C548" i="6"/>
  <c r="D548" i="6" s="1"/>
  <c r="C549" i="6"/>
  <c r="D549" i="6" s="1"/>
  <c r="C550" i="6"/>
  <c r="D550" i="6" s="1"/>
  <c r="C551" i="6"/>
  <c r="D551" i="6" s="1"/>
  <c r="C552" i="6"/>
  <c r="D552" i="6" s="1"/>
  <c r="C553" i="6"/>
  <c r="D553" i="6" s="1"/>
  <c r="C554" i="6"/>
  <c r="D554" i="6" s="1"/>
  <c r="C555" i="6"/>
  <c r="D555" i="6" s="1"/>
  <c r="C556" i="6"/>
  <c r="D556" i="6" s="1"/>
  <c r="C557" i="6"/>
  <c r="D557" i="6" s="1"/>
  <c r="C558" i="6"/>
  <c r="D558" i="6" s="1"/>
  <c r="C559" i="6"/>
  <c r="D559" i="6" s="1"/>
  <c r="C560" i="6"/>
  <c r="D560" i="6" s="1"/>
  <c r="C561" i="6"/>
  <c r="D561" i="6" s="1"/>
  <c r="C562" i="6"/>
  <c r="D562" i="6" s="1"/>
  <c r="C563" i="6"/>
  <c r="D563" i="6" s="1"/>
  <c r="C564" i="6"/>
  <c r="D564" i="6" s="1"/>
  <c r="C565" i="6"/>
  <c r="D565" i="6" s="1"/>
  <c r="C566" i="6"/>
  <c r="D566" i="6" s="1"/>
  <c r="C567" i="6"/>
  <c r="D567" i="6" s="1"/>
  <c r="C568" i="6"/>
  <c r="D568" i="6" s="1"/>
  <c r="C569" i="6"/>
  <c r="D569" i="6" s="1"/>
  <c r="C570" i="6"/>
  <c r="D570" i="6" s="1"/>
  <c r="C571" i="6"/>
  <c r="D571" i="6" s="1"/>
  <c r="C572" i="6"/>
  <c r="D572" i="6" s="1"/>
  <c r="C573" i="6"/>
  <c r="D573" i="6" s="1"/>
  <c r="C574" i="6"/>
  <c r="D574" i="6" s="1"/>
  <c r="C575" i="6"/>
  <c r="D575" i="6" s="1"/>
  <c r="C576" i="6"/>
  <c r="D576" i="6" s="1"/>
  <c r="C577" i="6"/>
  <c r="D577" i="6" s="1"/>
  <c r="C578" i="6"/>
  <c r="D578" i="6" s="1"/>
  <c r="C579" i="6"/>
  <c r="D579" i="6" s="1"/>
  <c r="C580" i="6"/>
  <c r="D580" i="6" s="1"/>
  <c r="C581" i="6"/>
  <c r="D581" i="6" s="1"/>
  <c r="C582" i="6"/>
  <c r="D582" i="6" s="1"/>
  <c r="C583" i="6"/>
  <c r="D583" i="6" s="1"/>
  <c r="C584" i="6"/>
  <c r="D584" i="6" s="1"/>
  <c r="C585" i="6"/>
  <c r="D585" i="6" s="1"/>
  <c r="C586" i="6"/>
  <c r="D586" i="6" s="1"/>
  <c r="C587" i="6"/>
  <c r="D587" i="6" s="1"/>
  <c r="C588" i="6"/>
  <c r="D588" i="6" s="1"/>
  <c r="C589" i="6"/>
  <c r="D589" i="6" s="1"/>
  <c r="C590" i="6"/>
  <c r="D590" i="6" s="1"/>
  <c r="C591" i="6"/>
  <c r="D591" i="6" s="1"/>
  <c r="C592" i="6"/>
  <c r="D592" i="6" s="1"/>
  <c r="C593" i="6"/>
  <c r="D593" i="6" s="1"/>
  <c r="C594" i="6"/>
  <c r="D594" i="6" s="1"/>
  <c r="C595" i="6"/>
  <c r="D595" i="6" s="1"/>
  <c r="C596" i="6"/>
  <c r="D596" i="6" s="1"/>
  <c r="C597" i="6"/>
  <c r="D597" i="6" s="1"/>
  <c r="C598" i="6"/>
  <c r="D598" i="6" s="1"/>
  <c r="C599" i="6"/>
  <c r="D599" i="6" s="1"/>
  <c r="C600" i="6"/>
  <c r="D600" i="6" s="1"/>
  <c r="C601" i="6"/>
  <c r="D601" i="6" s="1"/>
  <c r="C602" i="6"/>
  <c r="D602" i="6" s="1"/>
  <c r="C603" i="6"/>
  <c r="D603" i="6" s="1"/>
  <c r="C604" i="6"/>
  <c r="D604" i="6" s="1"/>
  <c r="C605" i="6"/>
  <c r="D605" i="6" s="1"/>
  <c r="C606" i="6"/>
  <c r="D606" i="6" s="1"/>
  <c r="C607" i="6"/>
  <c r="D607" i="6" s="1"/>
  <c r="C608" i="6"/>
  <c r="D608" i="6" s="1"/>
  <c r="C609" i="6"/>
  <c r="D609" i="6" s="1"/>
  <c r="C610" i="6"/>
  <c r="D610" i="6" s="1"/>
  <c r="C611" i="6"/>
  <c r="D611" i="6" s="1"/>
  <c r="C612" i="6"/>
  <c r="D612" i="6" s="1"/>
  <c r="C613" i="6"/>
  <c r="D613" i="6" s="1"/>
  <c r="C614" i="6"/>
  <c r="D614" i="6" s="1"/>
  <c r="C615" i="6"/>
  <c r="D615" i="6" s="1"/>
  <c r="C616" i="6"/>
  <c r="D616" i="6" s="1"/>
  <c r="C617" i="6"/>
  <c r="D617" i="6" s="1"/>
  <c r="C618" i="6"/>
  <c r="D618" i="6" s="1"/>
  <c r="C619" i="6"/>
  <c r="D619" i="6" s="1"/>
  <c r="C620" i="6"/>
  <c r="D620" i="6" s="1"/>
  <c r="C621" i="6"/>
  <c r="D621" i="6" s="1"/>
  <c r="C622" i="6"/>
  <c r="D622" i="6" s="1"/>
  <c r="C623" i="6"/>
  <c r="D623" i="6" s="1"/>
  <c r="C624" i="6"/>
  <c r="D624" i="6" s="1"/>
  <c r="C625" i="6"/>
  <c r="D625" i="6" s="1"/>
  <c r="C626" i="6"/>
  <c r="D626" i="6" s="1"/>
  <c r="C627" i="6"/>
  <c r="D627" i="6" s="1"/>
  <c r="C628" i="6"/>
  <c r="D628" i="6" s="1"/>
  <c r="C629" i="6"/>
  <c r="D629" i="6" s="1"/>
  <c r="C630" i="6"/>
  <c r="D630" i="6" s="1"/>
  <c r="C631" i="6"/>
  <c r="D631" i="6" s="1"/>
  <c r="C632" i="6"/>
  <c r="D632" i="6" s="1"/>
  <c r="C633" i="6"/>
  <c r="D633" i="6" s="1"/>
  <c r="C634" i="6"/>
  <c r="D634" i="6" s="1"/>
  <c r="C635" i="6"/>
  <c r="D635" i="6" s="1"/>
  <c r="C636" i="6"/>
  <c r="D636" i="6" s="1"/>
  <c r="C637" i="6"/>
  <c r="D637" i="6" s="1"/>
  <c r="C638" i="6"/>
  <c r="D638" i="6" s="1"/>
  <c r="C639" i="6"/>
  <c r="D639" i="6" s="1"/>
  <c r="C640" i="6"/>
  <c r="D640" i="6" s="1"/>
  <c r="C641" i="6"/>
  <c r="D641" i="6" s="1"/>
  <c r="C642" i="6"/>
  <c r="D642" i="6" s="1"/>
  <c r="C643" i="6"/>
  <c r="D643" i="6" s="1"/>
  <c r="C644" i="6"/>
  <c r="D644" i="6" s="1"/>
  <c r="C645" i="6"/>
  <c r="D645" i="6" s="1"/>
  <c r="C646" i="6"/>
  <c r="D646" i="6" s="1"/>
  <c r="C647" i="6"/>
  <c r="D647" i="6" s="1"/>
  <c r="C648" i="6"/>
  <c r="D648" i="6" s="1"/>
  <c r="C649" i="6"/>
  <c r="D649" i="6" s="1"/>
  <c r="C650" i="6"/>
  <c r="D650" i="6" s="1"/>
  <c r="C651" i="6"/>
  <c r="D651" i="6" s="1"/>
  <c r="C652" i="6"/>
  <c r="D652" i="6" s="1"/>
  <c r="C653" i="6"/>
  <c r="D653" i="6" s="1"/>
  <c r="C654" i="6"/>
  <c r="D654" i="6" s="1"/>
  <c r="C655" i="6"/>
  <c r="D655" i="6" s="1"/>
  <c r="C656" i="6"/>
  <c r="D656" i="6" s="1"/>
  <c r="C657" i="6"/>
  <c r="D657" i="6" s="1"/>
  <c r="C658" i="6"/>
  <c r="D658" i="6" s="1"/>
  <c r="C659" i="6"/>
  <c r="D659" i="6" s="1"/>
  <c r="C660" i="6"/>
  <c r="D660" i="6" s="1"/>
  <c r="C661" i="6"/>
  <c r="D661" i="6" s="1"/>
  <c r="C662" i="6"/>
  <c r="D662" i="6" s="1"/>
  <c r="C663" i="6"/>
  <c r="D663" i="6" s="1"/>
  <c r="C664" i="6"/>
  <c r="D664" i="6" s="1"/>
  <c r="C665" i="6"/>
  <c r="D665" i="6" s="1"/>
  <c r="C666" i="6"/>
  <c r="D666" i="6" s="1"/>
  <c r="C667" i="6"/>
  <c r="D667" i="6" s="1"/>
  <c r="C668" i="6"/>
  <c r="D668" i="6" s="1"/>
  <c r="C669" i="6"/>
  <c r="D669" i="6" s="1"/>
  <c r="C670" i="6"/>
  <c r="D670" i="6" s="1"/>
  <c r="C671" i="6"/>
  <c r="D671" i="6" s="1"/>
  <c r="C672" i="6"/>
  <c r="D672" i="6" s="1"/>
  <c r="C673" i="6"/>
  <c r="D673" i="6" s="1"/>
  <c r="C674" i="6"/>
  <c r="D674" i="6" s="1"/>
  <c r="C675" i="6"/>
  <c r="D675" i="6" s="1"/>
  <c r="C676" i="6"/>
  <c r="D676" i="6" s="1"/>
  <c r="C677" i="6"/>
  <c r="D677" i="6" s="1"/>
  <c r="C678" i="6"/>
  <c r="D678" i="6" s="1"/>
  <c r="C679" i="6"/>
  <c r="D679" i="6" s="1"/>
  <c r="C680" i="6"/>
  <c r="D680" i="6" s="1"/>
  <c r="C681" i="6"/>
  <c r="D681" i="6" s="1"/>
  <c r="C682" i="6"/>
  <c r="D682" i="6" s="1"/>
  <c r="C683" i="6"/>
  <c r="D683" i="6" s="1"/>
  <c r="C684" i="6"/>
  <c r="D684" i="6" s="1"/>
  <c r="C685" i="6"/>
  <c r="D685" i="6" s="1"/>
  <c r="C686" i="6"/>
  <c r="D686" i="6" s="1"/>
  <c r="C687" i="6"/>
  <c r="D687" i="6" s="1"/>
  <c r="C688" i="6"/>
  <c r="D688" i="6" s="1"/>
  <c r="C689" i="6"/>
  <c r="D689" i="6" s="1"/>
  <c r="C690" i="6"/>
  <c r="D690" i="6" s="1"/>
  <c r="C691" i="6"/>
  <c r="D691" i="6" s="1"/>
  <c r="C692" i="6"/>
  <c r="D692" i="6" s="1"/>
  <c r="C693" i="6"/>
  <c r="D693" i="6" s="1"/>
  <c r="C694" i="6"/>
  <c r="D694" i="6" s="1"/>
  <c r="C695" i="6"/>
  <c r="D695" i="6" s="1"/>
  <c r="C696" i="6"/>
  <c r="D696" i="6" s="1"/>
  <c r="C697" i="6"/>
  <c r="D697" i="6" s="1"/>
  <c r="C698" i="6"/>
  <c r="D698" i="6" s="1"/>
  <c r="C699" i="6"/>
  <c r="D699" i="6" s="1"/>
  <c r="C700" i="6"/>
  <c r="D700" i="6" s="1"/>
  <c r="C701" i="6"/>
  <c r="D701" i="6" s="1"/>
  <c r="C702" i="6"/>
  <c r="D702" i="6" s="1"/>
  <c r="C703" i="6"/>
  <c r="D703" i="6" s="1"/>
  <c r="C704" i="6"/>
  <c r="D704" i="6" s="1"/>
  <c r="C705" i="6"/>
  <c r="D705" i="6" s="1"/>
  <c r="C2" i="6"/>
  <c r="D2" i="6" s="1"/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1" i="5"/>
  <c r="C24" i="4"/>
  <c r="C143" i="4"/>
  <c r="C117" i="4"/>
  <c r="C106" i="4"/>
  <c r="C82" i="4"/>
  <c r="C58" i="4"/>
  <c r="C51" i="4"/>
  <c r="C45" i="4"/>
  <c r="C42" i="1"/>
  <c r="C48" i="1"/>
  <c r="C54" i="1"/>
  <c r="C60" i="1"/>
  <c r="C62" i="1"/>
  <c r="C65" i="1"/>
  <c r="C70" i="1"/>
  <c r="C73" i="1"/>
  <c r="C74" i="1"/>
  <c r="C79" i="1"/>
  <c r="C84" i="1"/>
  <c r="C105" i="1"/>
  <c r="C112" i="1"/>
  <c r="C120" i="1"/>
  <c r="C129" i="1"/>
  <c r="C135" i="1"/>
  <c r="C154" i="1"/>
  <c r="C161" i="1"/>
  <c r="C165" i="1"/>
  <c r="C75" i="1"/>
  <c r="C80" i="1"/>
  <c r="C89" i="1"/>
  <c r="C106" i="1"/>
  <c r="C113" i="1"/>
  <c r="C125" i="1"/>
  <c r="C136" i="1"/>
  <c r="C141" i="1"/>
  <c r="C147" i="1"/>
  <c r="C160" i="1"/>
  <c r="C76" i="1"/>
  <c r="C81" i="1"/>
  <c r="C85" i="1"/>
  <c r="C90" i="1"/>
  <c r="C93" i="1"/>
  <c r="C96" i="1"/>
  <c r="C102" i="1"/>
  <c r="C114" i="1"/>
  <c r="C121" i="1"/>
  <c r="C130" i="1"/>
  <c r="C137" i="1"/>
  <c r="C142" i="1"/>
  <c r="C148" i="1"/>
  <c r="C155" i="1"/>
  <c r="C166" i="1"/>
  <c r="C171" i="1"/>
  <c r="C77" i="1"/>
  <c r="C82" i="1"/>
  <c r="C86" i="1"/>
  <c r="C97" i="1"/>
  <c r="C103" i="1"/>
  <c r="C107" i="1"/>
  <c r="C115" i="1"/>
  <c r="C126" i="1"/>
  <c r="C131" i="1"/>
  <c r="C138" i="1"/>
  <c r="C143" i="1"/>
  <c r="C149" i="1"/>
  <c r="C156" i="1"/>
  <c r="C162" i="1"/>
  <c r="C167" i="1"/>
  <c r="C87" i="1"/>
  <c r="C94" i="1"/>
  <c r="C98" i="1"/>
  <c r="C104" i="1"/>
  <c r="C108" i="1"/>
  <c r="C116" i="1"/>
  <c r="C122" i="1"/>
  <c r="C127" i="1"/>
  <c r="C132" i="1"/>
  <c r="C139" i="1"/>
  <c r="C144" i="1"/>
  <c r="C150" i="1"/>
  <c r="C157" i="1"/>
  <c r="C168" i="1"/>
  <c r="C99" i="1"/>
  <c r="C109" i="1"/>
  <c r="C117" i="1"/>
  <c r="C151" i="1"/>
  <c r="C78" i="1"/>
  <c r="C83" i="1"/>
  <c r="C88" i="1"/>
  <c r="C91" i="1"/>
  <c r="C100" i="1"/>
  <c r="C110" i="1"/>
  <c r="C118" i="1"/>
  <c r="C123" i="1"/>
  <c r="C128" i="1"/>
  <c r="C133" i="1"/>
  <c r="C145" i="1"/>
  <c r="C152" i="1"/>
  <c r="C158" i="1"/>
  <c r="C163" i="1"/>
  <c r="C169" i="1"/>
  <c r="C92" i="1"/>
  <c r="C95" i="1"/>
  <c r="C101" i="1"/>
  <c r="C111" i="1"/>
  <c r="C119" i="1"/>
  <c r="C124" i="1"/>
  <c r="C134" i="1"/>
  <c r="C140" i="1"/>
  <c r="C146" i="1"/>
  <c r="C153" i="1"/>
  <c r="C159" i="1"/>
  <c r="C164" i="1"/>
  <c r="C170" i="1"/>
  <c r="C172" i="1"/>
  <c r="L221" i="1" s="1"/>
  <c r="C177" i="1"/>
  <c r="C182" i="1"/>
  <c r="C187" i="1"/>
  <c r="C189" i="1"/>
  <c r="C191" i="1"/>
  <c r="C195" i="1"/>
  <c r="C200" i="1"/>
  <c r="C203" i="1"/>
  <c r="C208" i="1"/>
  <c r="C173" i="1"/>
  <c r="C178" i="1"/>
  <c r="C185" i="1"/>
  <c r="C190" i="1"/>
  <c r="C192" i="1"/>
  <c r="C196" i="1"/>
  <c r="C204" i="1"/>
  <c r="C209" i="1"/>
  <c r="C212" i="1"/>
  <c r="C217" i="1"/>
  <c r="C174" i="1"/>
  <c r="C179" i="1"/>
  <c r="C180" i="1"/>
  <c r="C183" i="1"/>
  <c r="C188" i="1"/>
  <c r="C197" i="1"/>
  <c r="C201" i="1"/>
  <c r="C202" i="1"/>
  <c r="C205" i="1"/>
  <c r="C210" i="1"/>
  <c r="C213" i="1"/>
  <c r="C215" i="1"/>
  <c r="C218" i="1"/>
  <c r="C220" i="1"/>
  <c r="C198" i="1"/>
  <c r="C206" i="1"/>
  <c r="C184" i="1"/>
  <c r="C193" i="1"/>
  <c r="C211" i="1"/>
  <c r="C216" i="1"/>
  <c r="C221" i="1"/>
  <c r="C175" i="1"/>
  <c r="C176" i="1"/>
  <c r="C181" i="1"/>
  <c r="C186" i="1"/>
  <c r="C194" i="1"/>
  <c r="C199" i="1"/>
  <c r="C207" i="1"/>
  <c r="C214" i="1"/>
  <c r="C219" i="1"/>
  <c r="C222" i="1"/>
  <c r="C232" i="1"/>
  <c r="C240" i="1"/>
  <c r="C247" i="1"/>
  <c r="C256" i="1"/>
  <c r="C263" i="1"/>
  <c r="C270" i="1"/>
  <c r="C276" i="1"/>
  <c r="C281" i="1"/>
  <c r="C287" i="1"/>
  <c r="C314" i="1"/>
  <c r="C323" i="1"/>
  <c r="C223" i="1"/>
  <c r="C233" i="1"/>
  <c r="C246" i="1"/>
  <c r="C252" i="1"/>
  <c r="C257" i="1"/>
  <c r="C264" i="1"/>
  <c r="C288" i="1"/>
  <c r="C300" i="1"/>
  <c r="C304" i="1"/>
  <c r="C315" i="1"/>
  <c r="C324" i="1"/>
  <c r="C224" i="1"/>
  <c r="C229" i="1"/>
  <c r="C234" i="1"/>
  <c r="C241" i="1"/>
  <c r="C248" i="1"/>
  <c r="C253" i="1"/>
  <c r="C258" i="1"/>
  <c r="C265" i="1"/>
  <c r="C271" i="1"/>
  <c r="C277" i="1"/>
  <c r="C282" i="1"/>
  <c r="C289" i="1"/>
  <c r="C295" i="1"/>
  <c r="C301" i="1"/>
  <c r="C305" i="1"/>
  <c r="C309" i="1"/>
  <c r="C310" i="1"/>
  <c r="C316" i="1"/>
  <c r="C325" i="1"/>
  <c r="C225" i="1"/>
  <c r="C230" i="1"/>
  <c r="C235" i="1"/>
  <c r="C249" i="1"/>
  <c r="C254" i="1"/>
  <c r="C259" i="1"/>
  <c r="C266" i="1"/>
  <c r="C278" i="1"/>
  <c r="C283" i="1"/>
  <c r="C290" i="1"/>
  <c r="C296" i="1"/>
  <c r="C302" i="1"/>
  <c r="C306" i="1"/>
  <c r="C317" i="1"/>
  <c r="C322" i="1"/>
  <c r="C326" i="1"/>
  <c r="C226" i="1"/>
  <c r="C236" i="1"/>
  <c r="C239" i="1"/>
  <c r="C242" i="1"/>
  <c r="C250" i="1"/>
  <c r="C260" i="1"/>
  <c r="C267" i="1"/>
  <c r="C272" i="1"/>
  <c r="C279" i="1"/>
  <c r="C284" i="1"/>
  <c r="C291" i="1"/>
  <c r="C297" i="1"/>
  <c r="C311" i="1"/>
  <c r="C318" i="1"/>
  <c r="C227" i="1"/>
  <c r="C237" i="1"/>
  <c r="C243" i="1"/>
  <c r="C255" i="1"/>
  <c r="C261" i="1"/>
  <c r="C268" i="1"/>
  <c r="C273" i="1"/>
  <c r="C292" i="1"/>
  <c r="C307" i="1"/>
  <c r="C312" i="1"/>
  <c r="C319" i="1"/>
  <c r="C228" i="1"/>
  <c r="C231" i="1"/>
  <c r="C244" i="1"/>
  <c r="C251" i="1"/>
  <c r="C262" i="1"/>
  <c r="C269" i="1"/>
  <c r="C274" i="1"/>
  <c r="C280" i="1"/>
  <c r="C285" i="1"/>
  <c r="C293" i="1"/>
  <c r="C298" i="1"/>
  <c r="C303" i="1"/>
  <c r="C308" i="1"/>
  <c r="C313" i="1"/>
  <c r="C320" i="1"/>
  <c r="C238" i="1"/>
  <c r="C245" i="1"/>
  <c r="C275" i="1"/>
  <c r="C286" i="1"/>
  <c r="C294" i="1"/>
  <c r="C299" i="1"/>
  <c r="C321" i="1"/>
  <c r="C37" i="1"/>
  <c r="C41" i="1"/>
  <c r="C47" i="1"/>
  <c r="C56" i="1"/>
  <c r="C64" i="1"/>
  <c r="C69" i="1"/>
  <c r="C4" i="1"/>
  <c r="C5" i="1"/>
  <c r="C9" i="1"/>
  <c r="C10" i="1"/>
  <c r="C14" i="1"/>
  <c r="C16" i="1"/>
  <c r="C22" i="1"/>
  <c r="C23" i="1"/>
  <c r="C25" i="1"/>
  <c r="C31" i="1"/>
  <c r="C34" i="1"/>
  <c r="C38" i="1"/>
  <c r="C58" i="1"/>
  <c r="C8" i="1"/>
  <c r="C12" i="1"/>
  <c r="C19" i="1"/>
  <c r="C28" i="1"/>
  <c r="C40" i="1"/>
  <c r="C45" i="1"/>
  <c r="C52" i="1"/>
  <c r="C59" i="1"/>
  <c r="C63" i="1"/>
  <c r="C72" i="1"/>
  <c r="C13" i="1"/>
  <c r="C20" i="1"/>
  <c r="C29" i="1"/>
  <c r="C46" i="1"/>
  <c r="C53" i="1"/>
  <c r="C68" i="1"/>
  <c r="C3" i="1"/>
  <c r="C21" i="1"/>
  <c r="C30" i="1"/>
  <c r="C33" i="1"/>
  <c r="C17" i="1"/>
  <c r="C26" i="1"/>
  <c r="C35" i="1"/>
  <c r="C43" i="1"/>
  <c r="C49" i="1"/>
  <c r="C66" i="1"/>
  <c r="C71" i="1"/>
  <c r="C2" i="1"/>
  <c r="C7" i="1"/>
  <c r="C11" i="1"/>
  <c r="C15" i="1"/>
  <c r="C18" i="1"/>
  <c r="C24" i="1"/>
  <c r="C27" i="1"/>
  <c r="C32" i="1"/>
  <c r="C36" i="1"/>
  <c r="C39" i="1"/>
  <c r="C44" i="1"/>
  <c r="C50" i="1"/>
  <c r="C57" i="1"/>
  <c r="C61" i="1"/>
  <c r="C67" i="1"/>
  <c r="C51" i="1"/>
  <c r="C55" i="1"/>
  <c r="C6" i="1"/>
  <c r="L326" i="1" l="1"/>
  <c r="L171" i="1"/>
  <c r="I325" i="5"/>
  <c r="E73" i="1"/>
  <c r="J72" i="5"/>
  <c r="I220" i="5"/>
  <c r="K221" i="1"/>
  <c r="I170" i="5"/>
  <c r="L73" i="1"/>
  <c r="I72" i="5"/>
  <c r="K171" i="1"/>
  <c r="K73" i="1"/>
  <c r="K326" i="1"/>
  <c r="I170" i="3" l="1"/>
  <c r="C252" i="3"/>
  <c r="I31" i="3"/>
  <c r="I35" i="3"/>
  <c r="I28" i="3"/>
  <c r="I27" i="3"/>
  <c r="I34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" i="3"/>
  <c r="C237" i="3"/>
  <c r="I164" i="3"/>
  <c r="C131" i="3"/>
  <c r="I131" i="3"/>
  <c r="I240" i="3"/>
  <c r="I60" i="3"/>
  <c r="I200" i="3"/>
  <c r="I163" i="3"/>
  <c r="C59" i="3"/>
  <c r="C130" i="3"/>
  <c r="I130" i="3"/>
  <c r="I239" i="3"/>
  <c r="I59" i="3"/>
  <c r="I199" i="3"/>
  <c r="C105" i="3"/>
  <c r="C239" i="3"/>
  <c r="C20" i="3"/>
  <c r="I166" i="3"/>
  <c r="C62" i="3"/>
  <c r="I92" i="3"/>
  <c r="C133" i="3"/>
  <c r="C166" i="3"/>
  <c r="I133" i="3"/>
  <c r="I242" i="3"/>
  <c r="I184" i="3"/>
  <c r="I62" i="3"/>
  <c r="I202" i="3"/>
  <c r="C242" i="3"/>
  <c r="C19" i="3"/>
  <c r="I165" i="3"/>
  <c r="C61" i="3"/>
  <c r="I91" i="3"/>
  <c r="C132" i="3"/>
  <c r="C165" i="3"/>
  <c r="I132" i="3"/>
  <c r="I241" i="3"/>
  <c r="I201" i="3"/>
  <c r="C91" i="3"/>
  <c r="C241" i="3"/>
  <c r="C22" i="3"/>
  <c r="C64" i="3"/>
  <c r="C135" i="3"/>
  <c r="I135" i="3"/>
  <c r="I244" i="3"/>
  <c r="I64" i="3"/>
  <c r="I204" i="3"/>
  <c r="C94" i="3"/>
  <c r="C21" i="3"/>
  <c r="C63" i="3"/>
  <c r="C203" i="3"/>
  <c r="I93" i="3"/>
  <c r="C134" i="3"/>
  <c r="C173" i="3"/>
  <c r="I134" i="3"/>
  <c r="I243" i="3"/>
  <c r="I63" i="3"/>
  <c r="I203" i="3"/>
  <c r="C243" i="3"/>
  <c r="I96" i="3"/>
  <c r="I137" i="3"/>
  <c r="I66" i="3"/>
  <c r="C205" i="3"/>
  <c r="I95" i="3"/>
  <c r="I136" i="3"/>
  <c r="I245" i="3"/>
  <c r="I185" i="3"/>
  <c r="I65" i="3"/>
  <c r="I205" i="3"/>
  <c r="C95" i="3"/>
  <c r="C68" i="3"/>
  <c r="I97" i="3"/>
  <c r="C139" i="3"/>
  <c r="I139" i="3"/>
  <c r="I186" i="3"/>
  <c r="I68" i="3"/>
  <c r="C247" i="3"/>
  <c r="I167" i="3"/>
  <c r="C67" i="3"/>
  <c r="C207" i="3"/>
  <c r="C138" i="3"/>
  <c r="I138" i="3"/>
  <c r="I246" i="3"/>
  <c r="I67" i="3"/>
  <c r="I207" i="3"/>
  <c r="C246" i="3"/>
  <c r="I140" i="3"/>
  <c r="C73" i="3"/>
  <c r="I98" i="3"/>
  <c r="C253" i="3"/>
  <c r="C142" i="3"/>
  <c r="I142" i="3"/>
  <c r="I248" i="3"/>
  <c r="I187" i="3"/>
  <c r="I70" i="3"/>
  <c r="C104" i="3"/>
  <c r="I169" i="3"/>
  <c r="C141" i="3"/>
  <c r="I69" i="3"/>
  <c r="I209" i="3"/>
  <c r="C103" i="3"/>
  <c r="C248" i="3"/>
  <c r="I171" i="3"/>
  <c r="C211" i="3"/>
  <c r="I100" i="3"/>
  <c r="C144" i="3"/>
  <c r="I144" i="3"/>
  <c r="I251" i="3"/>
  <c r="I188" i="3"/>
  <c r="I72" i="3"/>
  <c r="I211" i="3"/>
  <c r="C251" i="3"/>
  <c r="C27" i="3"/>
  <c r="C72" i="3"/>
  <c r="C170" i="3"/>
  <c r="I143" i="3"/>
  <c r="I250" i="3"/>
  <c r="I71" i="3"/>
  <c r="I210" i="3"/>
  <c r="C99" i="3"/>
  <c r="C250" i="3"/>
  <c r="I172" i="3"/>
  <c r="I102" i="3"/>
  <c r="C146" i="3"/>
  <c r="I146" i="3"/>
  <c r="C102" i="3"/>
  <c r="C30" i="3"/>
  <c r="C145" i="3"/>
  <c r="I145" i="3"/>
  <c r="C107" i="3"/>
  <c r="C235" i="3"/>
  <c r="C16" i="3"/>
  <c r="I162" i="3"/>
  <c r="C129" i="3"/>
  <c r="I129" i="3"/>
  <c r="I238" i="3"/>
  <c r="I58" i="3"/>
  <c r="C15" i="3"/>
  <c r="C57" i="3"/>
  <c r="I90" i="3"/>
  <c r="I237" i="3"/>
  <c r="I57" i="3"/>
  <c r="C90" i="3"/>
  <c r="I88" i="3"/>
  <c r="C124" i="3"/>
  <c r="C158" i="3"/>
  <c r="I124" i="3"/>
  <c r="I233" i="3"/>
  <c r="I181" i="3"/>
  <c r="I53" i="3"/>
  <c r="I196" i="3"/>
  <c r="C88" i="3"/>
  <c r="C233" i="3"/>
  <c r="C32" i="3"/>
  <c r="I161" i="3"/>
  <c r="C56" i="3"/>
  <c r="C127" i="3"/>
  <c r="C161" i="3"/>
  <c r="I127" i="3"/>
  <c r="I236" i="3"/>
  <c r="I183" i="3"/>
  <c r="I56" i="3"/>
  <c r="I198" i="3"/>
  <c r="C236" i="3"/>
  <c r="I160" i="3"/>
  <c r="C55" i="3"/>
  <c r="I126" i="3"/>
  <c r="I235" i="3"/>
  <c r="I55" i="3"/>
  <c r="I197" i="3"/>
  <c r="I51" i="3"/>
  <c r="I195" i="3"/>
  <c r="C231" i="3"/>
  <c r="C14" i="3"/>
  <c r="I159" i="3"/>
  <c r="C54" i="3"/>
  <c r="I89" i="3"/>
  <c r="I125" i="3"/>
  <c r="I234" i="3"/>
  <c r="I182" i="3"/>
  <c r="I54" i="3"/>
  <c r="C89" i="3"/>
  <c r="C234" i="3"/>
  <c r="C13" i="3"/>
  <c r="I158" i="3"/>
  <c r="C53" i="3"/>
  <c r="I121" i="3"/>
  <c r="I229" i="3"/>
  <c r="C229" i="3"/>
  <c r="C12" i="3"/>
  <c r="I157" i="3"/>
  <c r="C52" i="3"/>
  <c r="I87" i="3"/>
  <c r="I123" i="3"/>
  <c r="I232" i="3"/>
  <c r="I180" i="3"/>
  <c r="I52" i="3"/>
  <c r="I156" i="3"/>
  <c r="C51" i="3"/>
  <c r="I86" i="3"/>
  <c r="I231" i="3"/>
  <c r="I179" i="3"/>
  <c r="C119" i="3"/>
  <c r="C154" i="3"/>
  <c r="I119" i="3"/>
  <c r="I227" i="3"/>
  <c r="I177" i="3"/>
  <c r="I49" i="3"/>
  <c r="I194" i="3"/>
  <c r="C106" i="3"/>
  <c r="C227" i="3"/>
  <c r="C10" i="3"/>
  <c r="I85" i="3"/>
  <c r="C122" i="3"/>
  <c r="I122" i="3"/>
  <c r="I178" i="3"/>
  <c r="I47" i="3"/>
  <c r="I191" i="3"/>
  <c r="C224" i="3"/>
  <c r="C33" i="3"/>
  <c r="I84" i="3"/>
  <c r="C118" i="3"/>
  <c r="C84" i="3"/>
  <c r="C74" i="3"/>
  <c r="I117" i="3"/>
  <c r="I222" i="3"/>
  <c r="I193" i="3"/>
  <c r="C222" i="3"/>
  <c r="I155" i="3"/>
  <c r="C50" i="3"/>
  <c r="I120" i="3"/>
  <c r="I228" i="3"/>
  <c r="I50" i="3"/>
  <c r="C228" i="3"/>
  <c r="C7" i="3"/>
  <c r="C49" i="3"/>
  <c r="I214" i="3"/>
  <c r="I45" i="3"/>
  <c r="C220" i="3"/>
  <c r="I216" i="3"/>
  <c r="C221" i="3"/>
  <c r="I153" i="3"/>
  <c r="C116" i="3"/>
  <c r="I116" i="3"/>
  <c r="I219" i="3"/>
  <c r="I176" i="3"/>
  <c r="I48" i="3"/>
  <c r="I192" i="3"/>
  <c r="C225" i="3"/>
  <c r="C47" i="3"/>
  <c r="I82" i="3"/>
  <c r="C115" i="3"/>
  <c r="C152" i="3"/>
  <c r="I115" i="3"/>
  <c r="I43" i="3"/>
  <c r="C217" i="3"/>
  <c r="C6" i="3"/>
  <c r="I151" i="3"/>
  <c r="C46" i="3"/>
  <c r="I81" i="3"/>
  <c r="C114" i="3"/>
  <c r="I114" i="3"/>
  <c r="I215" i="3"/>
  <c r="I175" i="3"/>
  <c r="I190" i="3"/>
  <c r="C5" i="3"/>
  <c r="I150" i="3"/>
  <c r="C45" i="3"/>
  <c r="C113" i="3"/>
  <c r="I113" i="3"/>
  <c r="I148" i="3"/>
  <c r="C42" i="3"/>
  <c r="I79" i="3"/>
  <c r="C109" i="3"/>
  <c r="I110" i="3"/>
  <c r="I212" i="3"/>
  <c r="I174" i="3"/>
  <c r="I42" i="3"/>
  <c r="C213" i="3"/>
  <c r="I147" i="3"/>
  <c r="C41" i="3"/>
  <c r="I78" i="3"/>
  <c r="I109" i="3"/>
  <c r="I41" i="3"/>
  <c r="C78" i="3"/>
  <c r="C212" i="3"/>
  <c r="I112" i="3"/>
  <c r="I44" i="3"/>
  <c r="C218" i="3"/>
  <c r="I149" i="3"/>
  <c r="I80" i="3"/>
  <c r="I111" i="3"/>
  <c r="C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D497A2-6F3A-534E-814A-803874971427}" name="cio_allPossible" type="6" refreshedVersion="6" background="1" saveData="1">
    <textPr sourceFile="/Users/chohazel/Dropbox/Work/nagoya/lexicon/cio_allPossible.txt" space="1" consecutive="1">
      <textFields count="3">
        <textField/>
        <textField/>
        <textField/>
      </textFields>
    </textPr>
  </connection>
  <connection id="2" xr16:uid="{2EE2D4D6-8858-6C4A-9CB7-476567F48C49}" name="cio_comparison" type="6" refreshedVersion="6" background="1" saveData="1">
    <textPr sourceFile="/Users/chohazel/Dropbox/Work/nagoya/lexicon/cio_comparison.txt" space="1" consecutive="1">
      <textFields count="4">
        <textField/>
        <textField/>
        <textField/>
        <textField/>
      </textFields>
    </textPr>
  </connection>
  <connection id="3" xr16:uid="{806D89FE-9678-EC49-AEF7-7143991D6C21}" name="cio_maxent" type="6" refreshedVersion="6" background="1" saveData="1">
    <textPr sourceFile="/Users/chohazel/Dropbox/Work/nagoya/lexicon/cio_maxent.txt" space="1" consecutive="1">
      <textFields count="3">
        <textField/>
        <textField/>
        <textField/>
      </textFields>
    </textPr>
  </connection>
  <connection id="4" xr16:uid="{64D36647-80F9-1147-A98F-FBE2464EB49E}" name="cio_maxent1" type="6" refreshedVersion="6" background="1" saveData="1">
    <textPr sourceFile="/Users/chohazel/Dropbox/Work/nagoya/lexicon/cio_maxent.txt" space="1" consecutive="1">
      <textFields count="3">
        <textField/>
        <textField/>
        <textField/>
      </textFields>
    </textPr>
  </connection>
  <connection id="5" xr16:uid="{C207B9F2-34FE-BF49-9352-CA7F3D0DA350}" name="cio_maxent2" type="6" refreshedVersion="6" background="1" saveData="1">
    <textPr sourceFile="/Users/chohazel/Dropbox/Work/nagoya/lexicon/cio_maxent.txt" space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<sst xmlns="http://schemas.openxmlformats.org/spreadsheetml/2006/main" count="10569" uniqueCount="1116">
  <si>
    <t>B</t>
  </si>
  <si>
    <t>S</t>
  </si>
  <si>
    <t>P</t>
  </si>
  <si>
    <t>SD</t>
  </si>
  <si>
    <t>ST</t>
  </si>
  <si>
    <t>L</t>
  </si>
  <si>
    <t>LD</t>
  </si>
  <si>
    <t>LT</t>
  </si>
  <si>
    <t>CH</t>
  </si>
  <si>
    <t>D</t>
  </si>
  <si>
    <t>HH</t>
  </si>
  <si>
    <t>JH</t>
  </si>
  <si>
    <t>K</t>
  </si>
  <si>
    <t>N</t>
  </si>
  <si>
    <t>R</t>
  </si>
  <si>
    <t>SH</t>
  </si>
  <si>
    <t>T</t>
  </si>
  <si>
    <t>V</t>
  </si>
  <si>
    <t>W</t>
  </si>
  <si>
    <t>Y</t>
  </si>
  <si>
    <t>Z</t>
  </si>
  <si>
    <t>LD-ST</t>
  </si>
  <si>
    <t>M</t>
  </si>
  <si>
    <t>G</t>
  </si>
  <si>
    <t>F</t>
  </si>
  <si>
    <t>TH</t>
  </si>
  <si>
    <t>DH</t>
  </si>
  <si>
    <t>LD-LT-ST</t>
  </si>
  <si>
    <t>LT-SD-ST</t>
  </si>
  <si>
    <t>LT-ST</t>
  </si>
  <si>
    <t>LD-SD-ST</t>
  </si>
  <si>
    <t>LT-SD</t>
  </si>
  <si>
    <t>SD-ST</t>
  </si>
  <si>
    <t>LD-SD</t>
  </si>
  <si>
    <t>LD-LT</t>
  </si>
  <si>
    <t xml:space="preserve">LD </t>
  </si>
  <si>
    <t>LD-LT-SD</t>
  </si>
  <si>
    <t>LD-LT-SD-ST</t>
  </si>
  <si>
    <t xml:space="preserve">B IH B </t>
  </si>
  <si>
    <t xml:space="preserve">B IH CH </t>
  </si>
  <si>
    <t xml:space="preserve">B IH D </t>
  </si>
  <si>
    <t xml:space="preserve">B IH F </t>
  </si>
  <si>
    <t xml:space="preserve">B IH G </t>
  </si>
  <si>
    <t xml:space="preserve">B IH K </t>
  </si>
  <si>
    <t xml:space="preserve">B IH P </t>
  </si>
  <si>
    <t xml:space="preserve">B IH S </t>
  </si>
  <si>
    <t xml:space="preserve">B IH SH </t>
  </si>
  <si>
    <t xml:space="preserve">B IH T </t>
  </si>
  <si>
    <t xml:space="preserve">B IH Z </t>
  </si>
  <si>
    <t xml:space="preserve">B IY CH </t>
  </si>
  <si>
    <t xml:space="preserve">B IY D </t>
  </si>
  <si>
    <t xml:space="preserve">B IY F </t>
  </si>
  <si>
    <t xml:space="preserve">B IY K </t>
  </si>
  <si>
    <t xml:space="preserve">B IY P </t>
  </si>
  <si>
    <t xml:space="preserve">B IY T </t>
  </si>
  <si>
    <t xml:space="preserve">B IY V </t>
  </si>
  <si>
    <t xml:space="preserve">B IY Z </t>
  </si>
  <si>
    <t xml:space="preserve">CH IH K </t>
  </si>
  <si>
    <t xml:space="preserve">CH IH P </t>
  </si>
  <si>
    <t xml:space="preserve">CH IH T </t>
  </si>
  <si>
    <t xml:space="preserve">CH IH Z </t>
  </si>
  <si>
    <t xml:space="preserve">CH IY CH </t>
  </si>
  <si>
    <t xml:space="preserve">CH IY F </t>
  </si>
  <si>
    <t xml:space="preserve">CH IY K </t>
  </si>
  <si>
    <t xml:space="preserve">CH IY P </t>
  </si>
  <si>
    <t xml:space="preserve">CH IY T </t>
  </si>
  <si>
    <t xml:space="preserve">CH IY Z </t>
  </si>
  <si>
    <t xml:space="preserve">D IH B </t>
  </si>
  <si>
    <t xml:space="preserve">D IH CH </t>
  </si>
  <si>
    <t xml:space="preserve">D IH D </t>
  </si>
  <si>
    <t xml:space="preserve">D IH F </t>
  </si>
  <si>
    <t xml:space="preserve">D IH G </t>
  </si>
  <si>
    <t xml:space="preserve">D IH K </t>
  </si>
  <si>
    <t xml:space="preserve">D IH P </t>
  </si>
  <si>
    <t xml:space="preserve">D IH S </t>
  </si>
  <si>
    <t xml:space="preserve">D IH SH </t>
  </si>
  <si>
    <t xml:space="preserve">D IH TH </t>
  </si>
  <si>
    <t xml:space="preserve">D IY B </t>
  </si>
  <si>
    <t xml:space="preserve">D IY CH </t>
  </si>
  <si>
    <t xml:space="preserve">D IY D </t>
  </si>
  <si>
    <t xml:space="preserve">D IY G </t>
  </si>
  <si>
    <t xml:space="preserve">D IY K </t>
  </si>
  <si>
    <t xml:space="preserve">D IY P </t>
  </si>
  <si>
    <t xml:space="preserve">D IY S </t>
  </si>
  <si>
    <t xml:space="preserve">D IY T </t>
  </si>
  <si>
    <t xml:space="preserve">D IY Z </t>
  </si>
  <si>
    <t xml:space="preserve">DH IH S </t>
  </si>
  <si>
    <t xml:space="preserve">DH IY Z </t>
  </si>
  <si>
    <t xml:space="preserve">F IH CH </t>
  </si>
  <si>
    <t xml:space="preserve">F IH G </t>
  </si>
  <si>
    <t xml:space="preserve">F IH K </t>
  </si>
  <si>
    <t xml:space="preserve">F IH S </t>
  </si>
  <si>
    <t xml:space="preserve">F IH SH </t>
  </si>
  <si>
    <t xml:space="preserve">F IH T </t>
  </si>
  <si>
    <t xml:space="preserve">F IH TH </t>
  </si>
  <si>
    <t xml:space="preserve">F IH Z </t>
  </si>
  <si>
    <t xml:space="preserve">F IY D </t>
  </si>
  <si>
    <t xml:space="preserve">F IY F </t>
  </si>
  <si>
    <t xml:space="preserve">F IY G </t>
  </si>
  <si>
    <t xml:space="preserve">F IY JH </t>
  </si>
  <si>
    <t xml:space="preserve">F IY K </t>
  </si>
  <si>
    <t xml:space="preserve">F IY T </t>
  </si>
  <si>
    <t xml:space="preserve">F IY TH </t>
  </si>
  <si>
    <t xml:space="preserve">F IY Z </t>
  </si>
  <si>
    <t xml:space="preserve">G IH B </t>
  </si>
  <si>
    <t xml:space="preserve">G IH F </t>
  </si>
  <si>
    <t xml:space="preserve">G IH G </t>
  </si>
  <si>
    <t xml:space="preserve">G IH V </t>
  </si>
  <si>
    <t xml:space="preserve">G IY D </t>
  </si>
  <si>
    <t xml:space="preserve">G IY K </t>
  </si>
  <si>
    <t xml:space="preserve">G IY S </t>
  </si>
  <si>
    <t xml:space="preserve">G IY TH </t>
  </si>
  <si>
    <t xml:space="preserve">G IY Z </t>
  </si>
  <si>
    <t xml:space="preserve">HH IH CH </t>
  </si>
  <si>
    <t xml:space="preserve">HH IH D </t>
  </si>
  <si>
    <t xml:space="preserve">HH IH K </t>
  </si>
  <si>
    <t xml:space="preserve">HH IH P </t>
  </si>
  <si>
    <t xml:space="preserve">HH IH S </t>
  </si>
  <si>
    <t xml:space="preserve">HH IH T </t>
  </si>
  <si>
    <t xml:space="preserve">HH IH Z </t>
  </si>
  <si>
    <t xml:space="preserve">HH IY B </t>
  </si>
  <si>
    <t xml:space="preserve">HH IY D </t>
  </si>
  <si>
    <t xml:space="preserve">HH IY G </t>
  </si>
  <si>
    <t xml:space="preserve">HH IY JH </t>
  </si>
  <si>
    <t xml:space="preserve">HH IY K </t>
  </si>
  <si>
    <t xml:space="preserve">HH IY P </t>
  </si>
  <si>
    <t xml:space="preserve">HH IY S </t>
  </si>
  <si>
    <t xml:space="preserve">HH IY SH </t>
  </si>
  <si>
    <t xml:space="preserve">HH IY T </t>
  </si>
  <si>
    <t xml:space="preserve">HH IY TH </t>
  </si>
  <si>
    <t xml:space="preserve">HH IY V </t>
  </si>
  <si>
    <t xml:space="preserve">HH IY Z </t>
  </si>
  <si>
    <t xml:space="preserve">JH IH B </t>
  </si>
  <si>
    <t xml:space="preserve">JH IH F </t>
  </si>
  <si>
    <t xml:space="preserve">JH IH G </t>
  </si>
  <si>
    <t xml:space="preserve">JH IH K </t>
  </si>
  <si>
    <t xml:space="preserve">JH IH P </t>
  </si>
  <si>
    <t xml:space="preserve">JH IH SH </t>
  </si>
  <si>
    <t xml:space="preserve">JH IY K </t>
  </si>
  <si>
    <t xml:space="preserve">JH IY P </t>
  </si>
  <si>
    <t xml:space="preserve">JH IY S </t>
  </si>
  <si>
    <t xml:space="preserve">JH IY Z </t>
  </si>
  <si>
    <t xml:space="preserve">K IH B </t>
  </si>
  <si>
    <t xml:space="preserve">K IH CH </t>
  </si>
  <si>
    <t xml:space="preserve">K IH D </t>
  </si>
  <si>
    <t xml:space="preserve">K IH F </t>
  </si>
  <si>
    <t xml:space="preserve">K IH K </t>
  </si>
  <si>
    <t xml:space="preserve">K IH P </t>
  </si>
  <si>
    <t xml:space="preserve">K IH S </t>
  </si>
  <si>
    <t xml:space="preserve">K IH SH </t>
  </si>
  <si>
    <t xml:space="preserve">K IH T </t>
  </si>
  <si>
    <t xml:space="preserve">K IY CH </t>
  </si>
  <si>
    <t xml:space="preserve">K IY D </t>
  </si>
  <si>
    <t xml:space="preserve">K IY F </t>
  </si>
  <si>
    <t xml:space="preserve">K IY P </t>
  </si>
  <si>
    <t xml:space="preserve">K IY S </t>
  </si>
  <si>
    <t xml:space="preserve">K IY SH </t>
  </si>
  <si>
    <t xml:space="preserve">K IY T </t>
  </si>
  <si>
    <t xml:space="preserve">K IY TH </t>
  </si>
  <si>
    <t xml:space="preserve">K IY Z </t>
  </si>
  <si>
    <t xml:space="preserve">L IH B </t>
  </si>
  <si>
    <t xml:space="preserve">L IH CH </t>
  </si>
  <si>
    <t xml:space="preserve">L IH D </t>
  </si>
  <si>
    <t xml:space="preserve">L IH F </t>
  </si>
  <si>
    <t xml:space="preserve">L IH K </t>
  </si>
  <si>
    <t xml:space="preserve">L IH P </t>
  </si>
  <si>
    <t xml:space="preserve">L IH S </t>
  </si>
  <si>
    <t xml:space="preserve">L IH SH </t>
  </si>
  <si>
    <t xml:space="preserve">L IH T </t>
  </si>
  <si>
    <t xml:space="preserve">L IH V </t>
  </si>
  <si>
    <t xml:space="preserve">L IH Z </t>
  </si>
  <si>
    <t xml:space="preserve">L IY B </t>
  </si>
  <si>
    <t xml:space="preserve">L IY CH </t>
  </si>
  <si>
    <t xml:space="preserve">L IY D </t>
  </si>
  <si>
    <t xml:space="preserve">L IY F </t>
  </si>
  <si>
    <t xml:space="preserve">L IY G </t>
  </si>
  <si>
    <t xml:space="preserve">L IY JH </t>
  </si>
  <si>
    <t xml:space="preserve">L IY K </t>
  </si>
  <si>
    <t xml:space="preserve">L IY P </t>
  </si>
  <si>
    <t xml:space="preserve">L IY S </t>
  </si>
  <si>
    <t xml:space="preserve">L IY SH </t>
  </si>
  <si>
    <t xml:space="preserve">L IY T </t>
  </si>
  <si>
    <t xml:space="preserve">L IY TH </t>
  </si>
  <si>
    <t xml:space="preserve">L IY V </t>
  </si>
  <si>
    <t xml:space="preserve">L IY Z </t>
  </si>
  <si>
    <t xml:space="preserve">M IH B </t>
  </si>
  <si>
    <t xml:space="preserve">M IH CH </t>
  </si>
  <si>
    <t xml:space="preserve">M IH D </t>
  </si>
  <si>
    <t xml:space="preserve">M IH G </t>
  </si>
  <si>
    <t xml:space="preserve">M IH JH </t>
  </si>
  <si>
    <t xml:space="preserve">M IH K </t>
  </si>
  <si>
    <t xml:space="preserve">M IH S </t>
  </si>
  <si>
    <t xml:space="preserve">M IH SH </t>
  </si>
  <si>
    <t xml:space="preserve">M IH T </t>
  </si>
  <si>
    <t xml:space="preserve">M IH TH </t>
  </si>
  <si>
    <t xml:space="preserve">M IH Z </t>
  </si>
  <si>
    <t xml:space="preserve">M IY CH </t>
  </si>
  <si>
    <t xml:space="preserve">M IY D </t>
  </si>
  <si>
    <t xml:space="preserve">M IY K </t>
  </si>
  <si>
    <t xml:space="preserve">M IY S </t>
  </si>
  <si>
    <t xml:space="preserve">M IY T </t>
  </si>
  <si>
    <t xml:space="preserve">M IY TH </t>
  </si>
  <si>
    <t xml:space="preserve">M IY V </t>
  </si>
  <si>
    <t xml:space="preserve">M IY Z </t>
  </si>
  <si>
    <t xml:space="preserve">N IH B </t>
  </si>
  <si>
    <t xml:space="preserve">N IH CH </t>
  </si>
  <si>
    <t xml:space="preserve">N IH G </t>
  </si>
  <si>
    <t xml:space="preserve">N IH K </t>
  </si>
  <si>
    <t xml:space="preserve">N IH P </t>
  </si>
  <si>
    <t xml:space="preserve">N IH S </t>
  </si>
  <si>
    <t xml:space="preserve">N IH T </t>
  </si>
  <si>
    <t xml:space="preserve">N IY B </t>
  </si>
  <si>
    <t xml:space="preserve">N IY D </t>
  </si>
  <si>
    <t xml:space="preserve">N IY F </t>
  </si>
  <si>
    <t xml:space="preserve">N IY P </t>
  </si>
  <si>
    <t xml:space="preserve">N IY S </t>
  </si>
  <si>
    <t xml:space="preserve">N IY T </t>
  </si>
  <si>
    <t xml:space="preserve">N IY V </t>
  </si>
  <si>
    <t xml:space="preserve">N IY Z </t>
  </si>
  <si>
    <t xml:space="preserve">P IH CH </t>
  </si>
  <si>
    <t xml:space="preserve">P IH G </t>
  </si>
  <si>
    <t xml:space="preserve">P IH K </t>
  </si>
  <si>
    <t xml:space="preserve">P IH P </t>
  </si>
  <si>
    <t xml:space="preserve">P IH S </t>
  </si>
  <si>
    <t xml:space="preserve">P IH T </t>
  </si>
  <si>
    <t xml:space="preserve">P IH TH </t>
  </si>
  <si>
    <t xml:space="preserve">P IY CH </t>
  </si>
  <si>
    <t xml:space="preserve">P IY D </t>
  </si>
  <si>
    <t xml:space="preserve">P IY G </t>
  </si>
  <si>
    <t xml:space="preserve">P IY K </t>
  </si>
  <si>
    <t xml:space="preserve">P IY P </t>
  </si>
  <si>
    <t xml:space="preserve">P IY S </t>
  </si>
  <si>
    <t xml:space="preserve">P IY T </t>
  </si>
  <si>
    <t xml:space="preserve">P IY TH </t>
  </si>
  <si>
    <t xml:space="preserve">P IY V </t>
  </si>
  <si>
    <t xml:space="preserve">P IY Z </t>
  </si>
  <si>
    <t xml:space="preserve">R IH B </t>
  </si>
  <si>
    <t xml:space="preserve">R IH CH </t>
  </si>
  <si>
    <t xml:space="preserve">R IH D </t>
  </si>
  <si>
    <t xml:space="preserve">R IH F </t>
  </si>
  <si>
    <t xml:space="preserve">R IH G </t>
  </si>
  <si>
    <t xml:space="preserve">R IH JH </t>
  </si>
  <si>
    <t xml:space="preserve">R IH K </t>
  </si>
  <si>
    <t xml:space="preserve">R IH P </t>
  </si>
  <si>
    <t xml:space="preserve">R IH S </t>
  </si>
  <si>
    <t xml:space="preserve">R IH SH </t>
  </si>
  <si>
    <t xml:space="preserve">R IH T </t>
  </si>
  <si>
    <t xml:space="preserve">R IH TH </t>
  </si>
  <si>
    <t xml:space="preserve">R IH Z </t>
  </si>
  <si>
    <t xml:space="preserve">R IY B </t>
  </si>
  <si>
    <t xml:space="preserve">R IY CH </t>
  </si>
  <si>
    <t xml:space="preserve">R IY D </t>
  </si>
  <si>
    <t xml:space="preserve">R IY F </t>
  </si>
  <si>
    <t xml:space="preserve">R IY G </t>
  </si>
  <si>
    <t xml:space="preserve">R IY JH </t>
  </si>
  <si>
    <t xml:space="preserve">R IY K </t>
  </si>
  <si>
    <t xml:space="preserve">R IY P </t>
  </si>
  <si>
    <t xml:space="preserve">R IY S </t>
  </si>
  <si>
    <t xml:space="preserve">R IY TH </t>
  </si>
  <si>
    <t xml:space="preserve">R IY V </t>
  </si>
  <si>
    <t xml:space="preserve">R IY Z </t>
  </si>
  <si>
    <t xml:space="preserve">S IH B </t>
  </si>
  <si>
    <t xml:space="preserve">S IH D </t>
  </si>
  <si>
    <t xml:space="preserve">S IH G </t>
  </si>
  <si>
    <t xml:space="preserve">S IH K </t>
  </si>
  <si>
    <t xml:space="preserve">S IH P </t>
  </si>
  <si>
    <t xml:space="preserve">S IH S </t>
  </si>
  <si>
    <t xml:space="preserve">S IH T </t>
  </si>
  <si>
    <t xml:space="preserve">S IH TH </t>
  </si>
  <si>
    <t xml:space="preserve">S IH V </t>
  </si>
  <si>
    <t xml:space="preserve">S IY B </t>
  </si>
  <si>
    <t xml:space="preserve">S IY D </t>
  </si>
  <si>
    <t xml:space="preserve">S IY DH </t>
  </si>
  <si>
    <t xml:space="preserve">S IY F </t>
  </si>
  <si>
    <t xml:space="preserve">S IY G </t>
  </si>
  <si>
    <t xml:space="preserve">S IY JH </t>
  </si>
  <si>
    <t xml:space="preserve">S IY K </t>
  </si>
  <si>
    <t xml:space="preserve">S IY P </t>
  </si>
  <si>
    <t xml:space="preserve">S IY S </t>
  </si>
  <si>
    <t xml:space="preserve">S IY T </t>
  </si>
  <si>
    <t xml:space="preserve">S IY TH </t>
  </si>
  <si>
    <t xml:space="preserve">S IY Z </t>
  </si>
  <si>
    <t xml:space="preserve">SH IH F </t>
  </si>
  <si>
    <t xml:space="preserve">SH IH K </t>
  </si>
  <si>
    <t xml:space="preserve">SH IH P </t>
  </si>
  <si>
    <t xml:space="preserve">SH IH T </t>
  </si>
  <si>
    <t xml:space="preserve">SH IY DH </t>
  </si>
  <si>
    <t xml:space="preserve">SH IY F </t>
  </si>
  <si>
    <t xml:space="preserve">SH IY K </t>
  </si>
  <si>
    <t xml:space="preserve">SH IY P </t>
  </si>
  <si>
    <t xml:space="preserve">SH IY S </t>
  </si>
  <si>
    <t xml:space="preserve">SH IY SH </t>
  </si>
  <si>
    <t xml:space="preserve">SH IY T </t>
  </si>
  <si>
    <t xml:space="preserve">SH IY TH </t>
  </si>
  <si>
    <t xml:space="preserve">SH IY V </t>
  </si>
  <si>
    <t xml:space="preserve">T IH D </t>
  </si>
  <si>
    <t xml:space="preserve">T IH F </t>
  </si>
  <si>
    <t xml:space="preserve">T IH G </t>
  </si>
  <si>
    <t xml:space="preserve">T IH K </t>
  </si>
  <si>
    <t xml:space="preserve">T IH P </t>
  </si>
  <si>
    <t xml:space="preserve">T IH SH </t>
  </si>
  <si>
    <t xml:space="preserve">T IH T </t>
  </si>
  <si>
    <t xml:space="preserve">T IH Z </t>
  </si>
  <si>
    <t xml:space="preserve">T IY CH </t>
  </si>
  <si>
    <t xml:space="preserve">T IY D </t>
  </si>
  <si>
    <t xml:space="preserve">T IY DH </t>
  </si>
  <si>
    <t xml:space="preserve">T IY G </t>
  </si>
  <si>
    <t xml:space="preserve">T IY K </t>
  </si>
  <si>
    <t xml:space="preserve">T IY P </t>
  </si>
  <si>
    <t xml:space="preserve">T IY S </t>
  </si>
  <si>
    <t xml:space="preserve">T IY T </t>
  </si>
  <si>
    <t xml:space="preserve">T IY TH </t>
  </si>
  <si>
    <t xml:space="preserve">T IY Z </t>
  </si>
  <si>
    <t xml:space="preserve">TH IH K </t>
  </si>
  <si>
    <t xml:space="preserve">TH IY D </t>
  </si>
  <si>
    <t xml:space="preserve">TH IY F </t>
  </si>
  <si>
    <t xml:space="preserve">TH IY Z </t>
  </si>
  <si>
    <t xml:space="preserve">V IH G </t>
  </si>
  <si>
    <t xml:space="preserve">V IH K </t>
  </si>
  <si>
    <t xml:space="preserve">V IH S </t>
  </si>
  <si>
    <t xml:space="preserve">V IH SH </t>
  </si>
  <si>
    <t xml:space="preserve">V IH T </t>
  </si>
  <si>
    <t xml:space="preserve">V IH V </t>
  </si>
  <si>
    <t xml:space="preserve">V IY CH </t>
  </si>
  <si>
    <t xml:space="preserve">V IY G </t>
  </si>
  <si>
    <t xml:space="preserve">V IY P </t>
  </si>
  <si>
    <t xml:space="preserve">V IY T </t>
  </si>
  <si>
    <t xml:space="preserve">V IY TH </t>
  </si>
  <si>
    <t xml:space="preserve">V IY V </t>
  </si>
  <si>
    <t xml:space="preserve">V IY Z </t>
  </si>
  <si>
    <t xml:space="preserve">W IH CH </t>
  </si>
  <si>
    <t xml:space="preserve">W IH DH </t>
  </si>
  <si>
    <t xml:space="preserve">W IH F </t>
  </si>
  <si>
    <t xml:space="preserve">W IH G </t>
  </si>
  <si>
    <t xml:space="preserve">W IH K </t>
  </si>
  <si>
    <t xml:space="preserve">W IH P </t>
  </si>
  <si>
    <t xml:space="preserve">W IH S </t>
  </si>
  <si>
    <t xml:space="preserve">W IH SH </t>
  </si>
  <si>
    <t xml:space="preserve">W IH T </t>
  </si>
  <si>
    <t xml:space="preserve">W IH TH </t>
  </si>
  <si>
    <t xml:space="preserve">W IH Z </t>
  </si>
  <si>
    <t xml:space="preserve">W IY B </t>
  </si>
  <si>
    <t xml:space="preserve">W IY CH </t>
  </si>
  <si>
    <t xml:space="preserve">W IY D </t>
  </si>
  <si>
    <t xml:space="preserve">W IY JH </t>
  </si>
  <si>
    <t xml:space="preserve">W IY K </t>
  </si>
  <si>
    <t xml:space="preserve">W IY P </t>
  </si>
  <si>
    <t xml:space="preserve">W IY S </t>
  </si>
  <si>
    <t xml:space="preserve">W IY T </t>
  </si>
  <si>
    <t xml:space="preserve">W IY TH </t>
  </si>
  <si>
    <t xml:space="preserve">W IY V </t>
  </si>
  <si>
    <t xml:space="preserve">W IY Z </t>
  </si>
  <si>
    <t xml:space="preserve">Y IH P </t>
  </si>
  <si>
    <t xml:space="preserve">Z IH CH </t>
  </si>
  <si>
    <t xml:space="preserve">Z IH F </t>
  </si>
  <si>
    <t xml:space="preserve">Z IH G </t>
  </si>
  <si>
    <t xml:space="preserve">Z IH K </t>
  </si>
  <si>
    <t xml:space="preserve">Z IH P </t>
  </si>
  <si>
    <t xml:space="preserve">Z IH V </t>
  </si>
  <si>
    <t xml:space="preserve">Z IY B </t>
  </si>
  <si>
    <t xml:space="preserve">Z IY G </t>
  </si>
  <si>
    <t xml:space="preserve">Z IY K </t>
  </si>
  <si>
    <t xml:space="preserve">Z IY Z </t>
  </si>
  <si>
    <t>B IH B</t>
  </si>
  <si>
    <t>B IH CH</t>
  </si>
  <si>
    <t>B IH D</t>
  </si>
  <si>
    <t>B IH F</t>
  </si>
  <si>
    <t>B IH G</t>
  </si>
  <si>
    <t>B IH K</t>
  </si>
  <si>
    <t>B IH P</t>
  </si>
  <si>
    <t>B IH S</t>
  </si>
  <si>
    <t>B IH SH</t>
  </si>
  <si>
    <t>B IH T</t>
  </si>
  <si>
    <t>B IH Z</t>
  </si>
  <si>
    <t>B IY CH</t>
  </si>
  <si>
    <t>B IY D</t>
  </si>
  <si>
    <t>B IY F</t>
  </si>
  <si>
    <t>B IY K</t>
  </si>
  <si>
    <t>B IY P</t>
  </si>
  <si>
    <t>B IY T</t>
  </si>
  <si>
    <t>B IY V</t>
  </si>
  <si>
    <t>B IY Z</t>
  </si>
  <si>
    <t>CH IH K</t>
  </si>
  <si>
    <t>CH IH P</t>
  </si>
  <si>
    <t>CH IH T</t>
  </si>
  <si>
    <t>CH IH Z</t>
  </si>
  <si>
    <t>CH IY CH</t>
  </si>
  <si>
    <t>CH IY F</t>
  </si>
  <si>
    <t>CH IY K</t>
  </si>
  <si>
    <t>CH IY P</t>
  </si>
  <si>
    <t>CH IY T</t>
  </si>
  <si>
    <t>CH IY Z</t>
  </si>
  <si>
    <t>D IH B</t>
  </si>
  <si>
    <t>D IH CH</t>
  </si>
  <si>
    <t>D IH D</t>
  </si>
  <si>
    <t>D IH F</t>
  </si>
  <si>
    <t>D IH G</t>
  </si>
  <si>
    <t>D IH K</t>
  </si>
  <si>
    <t>D IH P</t>
  </si>
  <si>
    <t>D IH S</t>
  </si>
  <si>
    <t>D IH SH</t>
  </si>
  <si>
    <t>D IH TH</t>
  </si>
  <si>
    <t>D IY B</t>
  </si>
  <si>
    <t>D IY CH</t>
  </si>
  <si>
    <t>D IY D</t>
  </si>
  <si>
    <t>D IY G</t>
  </si>
  <si>
    <t>D IY K</t>
  </si>
  <si>
    <t>D IY P</t>
  </si>
  <si>
    <t>D IY S</t>
  </si>
  <si>
    <t>D IY T</t>
  </si>
  <si>
    <t>D IY Z</t>
  </si>
  <si>
    <t>DH IH S</t>
  </si>
  <si>
    <t>DH IY Z</t>
  </si>
  <si>
    <t>F IH CH</t>
  </si>
  <si>
    <t>F IH G</t>
  </si>
  <si>
    <t>F IH K</t>
  </si>
  <si>
    <t>F IH S</t>
  </si>
  <si>
    <t>F IH SH</t>
  </si>
  <si>
    <t>F IH T</t>
  </si>
  <si>
    <t>F IH TH</t>
  </si>
  <si>
    <t>F IH Z</t>
  </si>
  <si>
    <t>F IY D</t>
  </si>
  <si>
    <t>F IY F</t>
  </si>
  <si>
    <t>F IY G</t>
  </si>
  <si>
    <t>F IY JH</t>
  </si>
  <si>
    <t>F IY K</t>
  </si>
  <si>
    <t>F IY T</t>
  </si>
  <si>
    <t>F IY TH</t>
  </si>
  <si>
    <t>F IY Z</t>
  </si>
  <si>
    <t>G IH B</t>
  </si>
  <si>
    <t>G IH F</t>
  </si>
  <si>
    <t>G IH G</t>
  </si>
  <si>
    <t>G IH V</t>
  </si>
  <si>
    <t>G IY D</t>
  </si>
  <si>
    <t>G IY K</t>
  </si>
  <si>
    <t>G IY S</t>
  </si>
  <si>
    <t>G IY TH</t>
  </si>
  <si>
    <t>G IY Z</t>
  </si>
  <si>
    <t>HH IH CH</t>
  </si>
  <si>
    <t>HH IH D</t>
  </si>
  <si>
    <t>HH IH K</t>
  </si>
  <si>
    <t>HH IH P</t>
  </si>
  <si>
    <t>HH IH S</t>
  </si>
  <si>
    <t>HH IH T</t>
  </si>
  <si>
    <t>HH IH Z</t>
  </si>
  <si>
    <t>HH IY B</t>
  </si>
  <si>
    <t>HH IY D</t>
  </si>
  <si>
    <t>HH IY G</t>
  </si>
  <si>
    <t>HH IY JH</t>
  </si>
  <si>
    <t>HH IY K</t>
  </si>
  <si>
    <t>HH IY P</t>
  </si>
  <si>
    <t>HH IY S</t>
  </si>
  <si>
    <t>HH IY SH</t>
  </si>
  <si>
    <t>HH IY T</t>
  </si>
  <si>
    <t>HH IY TH</t>
  </si>
  <si>
    <t>HH IY V</t>
  </si>
  <si>
    <t>HH IY Z</t>
  </si>
  <si>
    <t>JH IH B</t>
  </si>
  <si>
    <t>JH IH F</t>
  </si>
  <si>
    <t>JH IH G</t>
  </si>
  <si>
    <t>JH IH K</t>
  </si>
  <si>
    <t>JH IH P</t>
  </si>
  <si>
    <t>JH IH SH</t>
  </si>
  <si>
    <t>JH IY K</t>
  </si>
  <si>
    <t>JH IY P</t>
  </si>
  <si>
    <t>JH IY S</t>
  </si>
  <si>
    <t>JH IY Z</t>
  </si>
  <si>
    <t>K IH B</t>
  </si>
  <si>
    <t>K IH CH</t>
  </si>
  <si>
    <t>K IH D</t>
  </si>
  <si>
    <t>K IH F</t>
  </si>
  <si>
    <t>K IH K</t>
  </si>
  <si>
    <t>K IH P</t>
  </si>
  <si>
    <t>K IH S</t>
  </si>
  <si>
    <t>K IH SH</t>
  </si>
  <si>
    <t>K IH T</t>
  </si>
  <si>
    <t>K IY CH</t>
  </si>
  <si>
    <t>K IY D</t>
  </si>
  <si>
    <t>K IY F</t>
  </si>
  <si>
    <t>K IY P</t>
  </si>
  <si>
    <t>K IY S</t>
  </si>
  <si>
    <t>K IY SH</t>
  </si>
  <si>
    <t>K IY T</t>
  </si>
  <si>
    <t>K IY TH</t>
  </si>
  <si>
    <t>K IY Z</t>
  </si>
  <si>
    <t>L IH B</t>
  </si>
  <si>
    <t>L IH CH</t>
  </si>
  <si>
    <t>L IH D</t>
  </si>
  <si>
    <t>L IH F</t>
  </si>
  <si>
    <t>L IH K</t>
  </si>
  <si>
    <t>L IH P</t>
  </si>
  <si>
    <t>L IH S</t>
  </si>
  <si>
    <t>L IH SH</t>
  </si>
  <si>
    <t>L IH T</t>
  </si>
  <si>
    <t>L IH V</t>
  </si>
  <si>
    <t>L IH Z</t>
  </si>
  <si>
    <t>L IY B</t>
  </si>
  <si>
    <t>L IY CH</t>
  </si>
  <si>
    <t>L IY D</t>
  </si>
  <si>
    <t>L IY F</t>
  </si>
  <si>
    <t>L IY G</t>
  </si>
  <si>
    <t>L IY JH</t>
  </si>
  <si>
    <t>L IY K</t>
  </si>
  <si>
    <t>L IY P</t>
  </si>
  <si>
    <t>L IY S</t>
  </si>
  <si>
    <t>L IY SH</t>
  </si>
  <si>
    <t>L IY T</t>
  </si>
  <si>
    <t>L IY TH</t>
  </si>
  <si>
    <t>L IY V</t>
  </si>
  <si>
    <t>L IY Z</t>
  </si>
  <si>
    <t>M IH B</t>
  </si>
  <si>
    <t>M IH CH</t>
  </si>
  <si>
    <t>M IH D</t>
  </si>
  <si>
    <t>M IH G</t>
  </si>
  <si>
    <t>M IH JH</t>
  </si>
  <si>
    <t>M IH K</t>
  </si>
  <si>
    <t>M IH S</t>
  </si>
  <si>
    <t>M IH SH</t>
  </si>
  <si>
    <t>M IH T</t>
  </si>
  <si>
    <t>M IH TH</t>
  </si>
  <si>
    <t>M IH Z</t>
  </si>
  <si>
    <t>M IY CH</t>
  </si>
  <si>
    <t>M IY D</t>
  </si>
  <si>
    <t>M IY K</t>
  </si>
  <si>
    <t>M IY S</t>
  </si>
  <si>
    <t>M IY T</t>
  </si>
  <si>
    <t>M IY TH</t>
  </si>
  <si>
    <t>M IY V</t>
  </si>
  <si>
    <t>M IY Z</t>
  </si>
  <si>
    <t>N IH B</t>
  </si>
  <si>
    <t>N IH CH</t>
  </si>
  <si>
    <t>N IH G</t>
  </si>
  <si>
    <t>N IH K</t>
  </si>
  <si>
    <t>N IH P</t>
  </si>
  <si>
    <t>N IH S</t>
  </si>
  <si>
    <t>N IH T</t>
  </si>
  <si>
    <t>N IY B</t>
  </si>
  <si>
    <t>N IY D</t>
  </si>
  <si>
    <t>N IY F</t>
  </si>
  <si>
    <t>N IY P</t>
  </si>
  <si>
    <t>N IY S</t>
  </si>
  <si>
    <t>N IY T</t>
  </si>
  <si>
    <t>N IY V</t>
  </si>
  <si>
    <t>N IY Z</t>
  </si>
  <si>
    <t>P IH CH</t>
  </si>
  <si>
    <t>P IH G</t>
  </si>
  <si>
    <t>P IH K</t>
  </si>
  <si>
    <t>P IH P</t>
  </si>
  <si>
    <t>P IH S</t>
  </si>
  <si>
    <t>P IH T</t>
  </si>
  <si>
    <t>P IH TH</t>
  </si>
  <si>
    <t>P IY CH</t>
  </si>
  <si>
    <t>P IY D</t>
  </si>
  <si>
    <t>P IY G</t>
  </si>
  <si>
    <t>P IY K</t>
  </si>
  <si>
    <t>P IY P</t>
  </si>
  <si>
    <t>P IY S</t>
  </si>
  <si>
    <t>P IY T</t>
  </si>
  <si>
    <t>P IY TH</t>
  </si>
  <si>
    <t>P IY V</t>
  </si>
  <si>
    <t>P IY Z</t>
  </si>
  <si>
    <t>R IH B</t>
  </si>
  <si>
    <t>R IH CH</t>
  </si>
  <si>
    <t>R IH D</t>
  </si>
  <si>
    <t>R IH F</t>
  </si>
  <si>
    <t>R IH G</t>
  </si>
  <si>
    <t>R IH JH</t>
  </si>
  <si>
    <t>R IH K</t>
  </si>
  <si>
    <t>R IH P</t>
  </si>
  <si>
    <t>R IH S</t>
  </si>
  <si>
    <t>R IH SH</t>
  </si>
  <si>
    <t>R IH T</t>
  </si>
  <si>
    <t>R IH TH</t>
  </si>
  <si>
    <t>R IH Z</t>
  </si>
  <si>
    <t>R IY B</t>
  </si>
  <si>
    <t>R IY CH</t>
  </si>
  <si>
    <t>R IY D</t>
  </si>
  <si>
    <t>R IY F</t>
  </si>
  <si>
    <t>R IY G</t>
  </si>
  <si>
    <t>R IY JH</t>
  </si>
  <si>
    <t>R IY K</t>
  </si>
  <si>
    <t>R IY P</t>
  </si>
  <si>
    <t>R IY S</t>
  </si>
  <si>
    <t>R IY TH</t>
  </si>
  <si>
    <t>R IY V</t>
  </si>
  <si>
    <t>R IY Z</t>
  </si>
  <si>
    <t>S IH B</t>
  </si>
  <si>
    <t>S IH D</t>
  </si>
  <si>
    <t>S IH G</t>
  </si>
  <si>
    <t>S IH K</t>
  </si>
  <si>
    <t>S IH P</t>
  </si>
  <si>
    <t>S IH S</t>
  </si>
  <si>
    <t>S IH T</t>
  </si>
  <si>
    <t>S IH TH</t>
  </si>
  <si>
    <t>S IH V</t>
  </si>
  <si>
    <t>S IY B</t>
  </si>
  <si>
    <t>S IY D</t>
  </si>
  <si>
    <t>S IY DH</t>
  </si>
  <si>
    <t>S IY F</t>
  </si>
  <si>
    <t>S IY G</t>
  </si>
  <si>
    <t>S IY JH</t>
  </si>
  <si>
    <t>S IY K</t>
  </si>
  <si>
    <t>S IY P</t>
  </si>
  <si>
    <t>S IY S</t>
  </si>
  <si>
    <t>S IY T</t>
  </si>
  <si>
    <t>S IY TH</t>
  </si>
  <si>
    <t>S IY Z</t>
  </si>
  <si>
    <t>SH IH F</t>
  </si>
  <si>
    <t>SH IH K</t>
  </si>
  <si>
    <t>SH IH P</t>
  </si>
  <si>
    <t>SH IH T</t>
  </si>
  <si>
    <t>SH IY DH</t>
  </si>
  <si>
    <t>SH IY F</t>
  </si>
  <si>
    <t>SH IY K</t>
  </si>
  <si>
    <t>SH IY P</t>
  </si>
  <si>
    <t>SH IY S</t>
  </si>
  <si>
    <t>SH IY SH</t>
  </si>
  <si>
    <t>SH IY T</t>
  </si>
  <si>
    <t>SH IY TH</t>
  </si>
  <si>
    <t>SH IY V</t>
  </si>
  <si>
    <t>T IH D</t>
  </si>
  <si>
    <t>T IH F</t>
  </si>
  <si>
    <t>T IH G</t>
  </si>
  <si>
    <t>T IH K</t>
  </si>
  <si>
    <t>T IH P</t>
  </si>
  <si>
    <t>T IH SH</t>
  </si>
  <si>
    <t>T IH T</t>
  </si>
  <si>
    <t>T IH Z</t>
  </si>
  <si>
    <t>T IY CH</t>
  </si>
  <si>
    <t>T IY D</t>
  </si>
  <si>
    <t>T IY DH</t>
  </si>
  <si>
    <t>T IY G</t>
  </si>
  <si>
    <t>T IY K</t>
  </si>
  <si>
    <t>T IY P</t>
  </si>
  <si>
    <t>T IY S</t>
  </si>
  <si>
    <t>T IY T</t>
  </si>
  <si>
    <t>T IY TH</t>
  </si>
  <si>
    <t>T IY Z</t>
  </si>
  <si>
    <t>TH IH K</t>
  </si>
  <si>
    <t>TH IY D</t>
  </si>
  <si>
    <t>TH IY F</t>
  </si>
  <si>
    <t>TH IY Z</t>
  </si>
  <si>
    <t>V IH G</t>
  </si>
  <si>
    <t>V IH K</t>
  </si>
  <si>
    <t>V IH S</t>
  </si>
  <si>
    <t>V IH SH</t>
  </si>
  <si>
    <t>V IH T</t>
  </si>
  <si>
    <t>V IH V</t>
  </si>
  <si>
    <t>V IY CH</t>
  </si>
  <si>
    <t>V IY G</t>
  </si>
  <si>
    <t>V IY P</t>
  </si>
  <si>
    <t>V IY T</t>
  </si>
  <si>
    <t>V IY TH</t>
  </si>
  <si>
    <t>V IY V</t>
  </si>
  <si>
    <t>V IY Z</t>
  </si>
  <si>
    <t>W IH CH</t>
  </si>
  <si>
    <t>W IH DH</t>
  </si>
  <si>
    <t>W IH F</t>
  </si>
  <si>
    <t>W IH G</t>
  </si>
  <si>
    <t>W IH K</t>
  </si>
  <si>
    <t>W IH P</t>
  </si>
  <si>
    <t>W IH S</t>
  </si>
  <si>
    <t>W IH SH</t>
  </si>
  <si>
    <t>W IH T</t>
  </si>
  <si>
    <t>W IH TH</t>
  </si>
  <si>
    <t>W IH Z</t>
  </si>
  <si>
    <t>W IY B</t>
  </si>
  <si>
    <t>W IY CH</t>
  </si>
  <si>
    <t>W IY D</t>
  </si>
  <si>
    <t>W IY JH</t>
  </si>
  <si>
    <t>W IY K</t>
  </si>
  <si>
    <t>W IY P</t>
  </si>
  <si>
    <t>W IY S</t>
  </si>
  <si>
    <t>W IY T</t>
  </si>
  <si>
    <t>W IY TH</t>
  </si>
  <si>
    <t>W IY V</t>
  </si>
  <si>
    <t>W IY Z</t>
  </si>
  <si>
    <t>Y IH P</t>
  </si>
  <si>
    <t>Z IH CH</t>
  </si>
  <si>
    <t>Z IH F</t>
  </si>
  <si>
    <t>Z IH G</t>
  </si>
  <si>
    <t>Z IH K</t>
  </si>
  <si>
    <t>Z IH P</t>
  </si>
  <si>
    <t>Z IH V</t>
  </si>
  <si>
    <t>Z IY B</t>
  </si>
  <si>
    <t>Z IY G</t>
  </si>
  <si>
    <t>Z IY K</t>
  </si>
  <si>
    <t>Z IY Z</t>
  </si>
  <si>
    <t>IH</t>
  </si>
  <si>
    <t>IY</t>
  </si>
  <si>
    <t xml:space="preserve">LT </t>
  </si>
  <si>
    <t xml:space="preserve">LT-SD </t>
  </si>
  <si>
    <t xml:space="preserve">LD-LT-SD </t>
  </si>
  <si>
    <t xml:space="preserve">LD-LT-ST </t>
  </si>
  <si>
    <t xml:space="preserve">LT-ST </t>
  </si>
  <si>
    <t xml:space="preserve">IH B </t>
  </si>
  <si>
    <t xml:space="preserve">IH CH </t>
  </si>
  <si>
    <t xml:space="preserve">IH D </t>
  </si>
  <si>
    <t xml:space="preserve">IH F </t>
  </si>
  <si>
    <t xml:space="preserve">IH G </t>
  </si>
  <si>
    <t xml:space="preserve">IH K </t>
  </si>
  <si>
    <t xml:space="preserve">IH P </t>
  </si>
  <si>
    <t xml:space="preserve">IH S </t>
  </si>
  <si>
    <t xml:space="preserve">IH SH </t>
  </si>
  <si>
    <t xml:space="preserve">IH T </t>
  </si>
  <si>
    <t xml:space="preserve">IH Z </t>
  </si>
  <si>
    <t xml:space="preserve">IY CH </t>
  </si>
  <si>
    <t xml:space="preserve">IY D </t>
  </si>
  <si>
    <t xml:space="preserve">IY F </t>
  </si>
  <si>
    <t xml:space="preserve">IY K </t>
  </si>
  <si>
    <t xml:space="preserve">IY P </t>
  </si>
  <si>
    <t xml:space="preserve">IY T </t>
  </si>
  <si>
    <t xml:space="preserve">IY V </t>
  </si>
  <si>
    <t xml:space="preserve">IY Z </t>
  </si>
  <si>
    <t xml:space="preserve">IH TH </t>
  </si>
  <si>
    <t xml:space="preserve">IY B </t>
  </si>
  <si>
    <t xml:space="preserve">IY G </t>
  </si>
  <si>
    <t xml:space="preserve">IY S </t>
  </si>
  <si>
    <t xml:space="preserve">IY JH </t>
  </si>
  <si>
    <t xml:space="preserve">IY TH </t>
  </si>
  <si>
    <t xml:space="preserve">IH V </t>
  </si>
  <si>
    <t xml:space="preserve">IY SH </t>
  </si>
  <si>
    <t xml:space="preserve">IH JH </t>
  </si>
  <si>
    <t xml:space="preserve">IY DH </t>
  </si>
  <si>
    <t xml:space="preserve">IH DH </t>
  </si>
  <si>
    <t>score</t>
  </si>
  <si>
    <t>maxen</t>
  </si>
  <si>
    <t>word</t>
  </si>
  <si>
    <t xml:space="preserve">B IH DH </t>
  </si>
  <si>
    <t xml:space="preserve">B IH JH </t>
  </si>
  <si>
    <t xml:space="preserve">B IH TH </t>
  </si>
  <si>
    <t xml:space="preserve">B IH V </t>
  </si>
  <si>
    <t xml:space="preserve">B IH ZH </t>
  </si>
  <si>
    <t xml:space="preserve">B IY B </t>
  </si>
  <si>
    <t xml:space="preserve">B IY DH </t>
  </si>
  <si>
    <t xml:space="preserve">B IY G </t>
  </si>
  <si>
    <t xml:space="preserve">B IY JH </t>
  </si>
  <si>
    <t xml:space="preserve">B IY S </t>
  </si>
  <si>
    <t xml:space="preserve">B IY SH </t>
  </si>
  <si>
    <t xml:space="preserve">B IY TH </t>
  </si>
  <si>
    <t xml:space="preserve">B IY ZH </t>
  </si>
  <si>
    <t xml:space="preserve">CH IH B </t>
  </si>
  <si>
    <t xml:space="preserve">CH IH CH </t>
  </si>
  <si>
    <t xml:space="preserve">CH IH D </t>
  </si>
  <si>
    <t xml:space="preserve">CH IH DH </t>
  </si>
  <si>
    <t xml:space="preserve">CH IH F </t>
  </si>
  <si>
    <t xml:space="preserve">CH IH G </t>
  </si>
  <si>
    <t xml:space="preserve">CH IH JH </t>
  </si>
  <si>
    <t xml:space="preserve">CH IH S </t>
  </si>
  <si>
    <t xml:space="preserve">CH IH SH </t>
  </si>
  <si>
    <t xml:space="preserve">CH IH TH </t>
  </si>
  <si>
    <t xml:space="preserve">CH IH V </t>
  </si>
  <si>
    <t xml:space="preserve">CH IH ZH </t>
  </si>
  <si>
    <t xml:space="preserve">CH IY B </t>
  </si>
  <si>
    <t xml:space="preserve">CH IY D </t>
  </si>
  <si>
    <t xml:space="preserve">CH IY DH </t>
  </si>
  <si>
    <t xml:space="preserve">CH IY G </t>
  </si>
  <si>
    <t xml:space="preserve">CH IY JH </t>
  </si>
  <si>
    <t xml:space="preserve">CH IY S </t>
  </si>
  <si>
    <t xml:space="preserve">CH IY SH </t>
  </si>
  <si>
    <t xml:space="preserve">CH IY TH </t>
  </si>
  <si>
    <t xml:space="preserve">CH IY V </t>
  </si>
  <si>
    <t xml:space="preserve">CH IY ZH </t>
  </si>
  <si>
    <t xml:space="preserve">D IH DH </t>
  </si>
  <si>
    <t xml:space="preserve">D IH JH </t>
  </si>
  <si>
    <t xml:space="preserve">D IH T </t>
  </si>
  <si>
    <t xml:space="preserve">D IH V </t>
  </si>
  <si>
    <t xml:space="preserve">D IH Z </t>
  </si>
  <si>
    <t xml:space="preserve">D IH ZH </t>
  </si>
  <si>
    <t xml:space="preserve">D IY DH </t>
  </si>
  <si>
    <t xml:space="preserve">D IY F </t>
  </si>
  <si>
    <t xml:space="preserve">D IY JH </t>
  </si>
  <si>
    <t xml:space="preserve">D IY SH </t>
  </si>
  <si>
    <t xml:space="preserve">D IY TH </t>
  </si>
  <si>
    <t xml:space="preserve">D IY V </t>
  </si>
  <si>
    <t xml:space="preserve">D IY ZH </t>
  </si>
  <si>
    <t xml:space="preserve">DH IH B </t>
  </si>
  <si>
    <t xml:space="preserve">DH IH CH </t>
  </si>
  <si>
    <t xml:space="preserve">DH IH D </t>
  </si>
  <si>
    <t xml:space="preserve">DH IH DH </t>
  </si>
  <si>
    <t xml:space="preserve">DH IH F </t>
  </si>
  <si>
    <t xml:space="preserve">DH IH G </t>
  </si>
  <si>
    <t xml:space="preserve">DH IH JH </t>
  </si>
  <si>
    <t xml:space="preserve">DH IH K </t>
  </si>
  <si>
    <t xml:space="preserve">DH IH P </t>
  </si>
  <si>
    <t xml:space="preserve">DH IH SH </t>
  </si>
  <si>
    <t xml:space="preserve">DH IH T </t>
  </si>
  <si>
    <t xml:space="preserve">DH IH TH </t>
  </si>
  <si>
    <t xml:space="preserve">DH IH V </t>
  </si>
  <si>
    <t xml:space="preserve">DH IH Z </t>
  </si>
  <si>
    <t xml:space="preserve">DH IH ZH </t>
  </si>
  <si>
    <t xml:space="preserve">DH IY B </t>
  </si>
  <si>
    <t xml:space="preserve">DH IY CH </t>
  </si>
  <si>
    <t xml:space="preserve">DH IY D </t>
  </si>
  <si>
    <t xml:space="preserve">DH IY DH </t>
  </si>
  <si>
    <t xml:space="preserve">DH IY F </t>
  </si>
  <si>
    <t xml:space="preserve">DH IY G </t>
  </si>
  <si>
    <t xml:space="preserve">DH IY JH </t>
  </si>
  <si>
    <t xml:space="preserve">DH IY K </t>
  </si>
  <si>
    <t xml:space="preserve">DH IY P </t>
  </si>
  <si>
    <t xml:space="preserve">DH IY S </t>
  </si>
  <si>
    <t xml:space="preserve">DH IY SH </t>
  </si>
  <si>
    <t xml:space="preserve">DH IY T </t>
  </si>
  <si>
    <t xml:space="preserve">DH IY TH </t>
  </si>
  <si>
    <t xml:space="preserve">DH IY V </t>
  </si>
  <si>
    <t xml:space="preserve">DH IY ZH </t>
  </si>
  <si>
    <t xml:space="preserve">F IH B </t>
  </si>
  <si>
    <t xml:space="preserve">F IH D </t>
  </si>
  <si>
    <t xml:space="preserve">F IH DH </t>
  </si>
  <si>
    <t xml:space="preserve">F IH F </t>
  </si>
  <si>
    <t xml:space="preserve">F IH JH </t>
  </si>
  <si>
    <t xml:space="preserve">F IH P </t>
  </si>
  <si>
    <t xml:space="preserve">F IH V </t>
  </si>
  <si>
    <t xml:space="preserve">F IH ZH </t>
  </si>
  <si>
    <t xml:space="preserve">F IY B </t>
  </si>
  <si>
    <t xml:space="preserve">F IY CH </t>
  </si>
  <si>
    <t xml:space="preserve">F IY DH </t>
  </si>
  <si>
    <t xml:space="preserve">F IY P </t>
  </si>
  <si>
    <t xml:space="preserve">F IY S </t>
  </si>
  <si>
    <t xml:space="preserve">F IY SH </t>
  </si>
  <si>
    <t xml:space="preserve">F IY V </t>
  </si>
  <si>
    <t xml:space="preserve">F IY ZH </t>
  </si>
  <si>
    <t xml:space="preserve">G IH CH </t>
  </si>
  <si>
    <t xml:space="preserve">G IH D </t>
  </si>
  <si>
    <t xml:space="preserve">G IH DH </t>
  </si>
  <si>
    <t xml:space="preserve">G IH JH </t>
  </si>
  <si>
    <t xml:space="preserve">G IH K </t>
  </si>
  <si>
    <t xml:space="preserve">G IH P </t>
  </si>
  <si>
    <t xml:space="preserve">G IH S </t>
  </si>
  <si>
    <t xml:space="preserve">G IH SH </t>
  </si>
  <si>
    <t xml:space="preserve">G IH T </t>
  </si>
  <si>
    <t xml:space="preserve">G IH TH </t>
  </si>
  <si>
    <t xml:space="preserve">G IH Z </t>
  </si>
  <si>
    <t xml:space="preserve">G IH ZH </t>
  </si>
  <si>
    <t xml:space="preserve">G IY B </t>
  </si>
  <si>
    <t xml:space="preserve">G IY CH </t>
  </si>
  <si>
    <t xml:space="preserve">G IY DH </t>
  </si>
  <si>
    <t xml:space="preserve">G IY F </t>
  </si>
  <si>
    <t xml:space="preserve">G IY G </t>
  </si>
  <si>
    <t xml:space="preserve">G IY JH </t>
  </si>
  <si>
    <t xml:space="preserve">G IY P </t>
  </si>
  <si>
    <t xml:space="preserve">G IY SH </t>
  </si>
  <si>
    <t xml:space="preserve">G IY T </t>
  </si>
  <si>
    <t xml:space="preserve">G IY V </t>
  </si>
  <si>
    <t xml:space="preserve">G IY ZH </t>
  </si>
  <si>
    <t xml:space="preserve">HH IH B </t>
  </si>
  <si>
    <t xml:space="preserve">HH IH DH </t>
  </si>
  <si>
    <t xml:space="preserve">HH IH F </t>
  </si>
  <si>
    <t xml:space="preserve">HH IH G </t>
  </si>
  <si>
    <t xml:space="preserve">HH IH JH </t>
  </si>
  <si>
    <t xml:space="preserve">HH IH SH </t>
  </si>
  <si>
    <t xml:space="preserve">HH IH TH </t>
  </si>
  <si>
    <t xml:space="preserve">HH IH V </t>
  </si>
  <si>
    <t xml:space="preserve">HH IH ZH </t>
  </si>
  <si>
    <t xml:space="preserve">HH IY CH </t>
  </si>
  <si>
    <t xml:space="preserve">HH IY DH </t>
  </si>
  <si>
    <t xml:space="preserve">HH IY F </t>
  </si>
  <si>
    <t xml:space="preserve">HH IY ZH </t>
  </si>
  <si>
    <t xml:space="preserve">JH IH CH </t>
  </si>
  <si>
    <t xml:space="preserve">JH IH D </t>
  </si>
  <si>
    <t xml:space="preserve">JH IH DH </t>
  </si>
  <si>
    <t xml:space="preserve">JH IH JH </t>
  </si>
  <si>
    <t xml:space="preserve">JH IH S </t>
  </si>
  <si>
    <t xml:space="preserve">JH IH T </t>
  </si>
  <si>
    <t xml:space="preserve">JH IH TH </t>
  </si>
  <si>
    <t xml:space="preserve">JH IH V </t>
  </si>
  <si>
    <t xml:space="preserve">JH IH Z </t>
  </si>
  <si>
    <t xml:space="preserve">JH IH ZH </t>
  </si>
  <si>
    <t xml:space="preserve">JH IY B </t>
  </si>
  <si>
    <t xml:space="preserve">JH IY CH </t>
  </si>
  <si>
    <t xml:space="preserve">JH IY D </t>
  </si>
  <si>
    <t xml:space="preserve">JH IY DH </t>
  </si>
  <si>
    <t xml:space="preserve">JH IY F </t>
  </si>
  <si>
    <t xml:space="preserve">JH IY G </t>
  </si>
  <si>
    <t xml:space="preserve">JH IY JH </t>
  </si>
  <si>
    <t xml:space="preserve">JH IY SH </t>
  </si>
  <si>
    <t xml:space="preserve">JH IY T </t>
  </si>
  <si>
    <t xml:space="preserve">JH IY TH </t>
  </si>
  <si>
    <t xml:space="preserve">JH IY V </t>
  </si>
  <si>
    <t xml:space="preserve">JH IY ZH </t>
  </si>
  <si>
    <t xml:space="preserve">K IH DH </t>
  </si>
  <si>
    <t xml:space="preserve">K IH G </t>
  </si>
  <si>
    <t xml:space="preserve">K IH JH </t>
  </si>
  <si>
    <t xml:space="preserve">K IH TH </t>
  </si>
  <si>
    <t xml:space="preserve">K IH V </t>
  </si>
  <si>
    <t xml:space="preserve">K IH Z </t>
  </si>
  <si>
    <t xml:space="preserve">K IH ZH </t>
  </si>
  <si>
    <t xml:space="preserve">K IY B </t>
  </si>
  <si>
    <t xml:space="preserve">K IY DH </t>
  </si>
  <si>
    <t xml:space="preserve">K IY G </t>
  </si>
  <si>
    <t xml:space="preserve">K IY JH </t>
  </si>
  <si>
    <t xml:space="preserve">K IY K </t>
  </si>
  <si>
    <t xml:space="preserve">K IY V </t>
  </si>
  <si>
    <t xml:space="preserve">K IY ZH </t>
  </si>
  <si>
    <t xml:space="preserve">L IH DH </t>
  </si>
  <si>
    <t xml:space="preserve">L IH G </t>
  </si>
  <si>
    <t xml:space="preserve">L IH JH </t>
  </si>
  <si>
    <t xml:space="preserve">L IH TH </t>
  </si>
  <si>
    <t xml:space="preserve">L IH ZH </t>
  </si>
  <si>
    <t xml:space="preserve">L IY DH </t>
  </si>
  <si>
    <t xml:space="preserve">L IY ZH </t>
  </si>
  <si>
    <t xml:space="preserve">M IH DH </t>
  </si>
  <si>
    <t xml:space="preserve">M IH F </t>
  </si>
  <si>
    <t xml:space="preserve">M IH P </t>
  </si>
  <si>
    <t xml:space="preserve">M IH V </t>
  </si>
  <si>
    <t xml:space="preserve">M IH ZH </t>
  </si>
  <si>
    <t xml:space="preserve">M IY B </t>
  </si>
  <si>
    <t xml:space="preserve">M IY DH </t>
  </si>
  <si>
    <t xml:space="preserve">M IY F </t>
  </si>
  <si>
    <t xml:space="preserve">M IY G </t>
  </si>
  <si>
    <t xml:space="preserve">M IY JH </t>
  </si>
  <si>
    <t xml:space="preserve">M IY P </t>
  </si>
  <si>
    <t xml:space="preserve">M IY SH </t>
  </si>
  <si>
    <t xml:space="preserve">M IY ZH </t>
  </si>
  <si>
    <t xml:space="preserve">N IH D </t>
  </si>
  <si>
    <t xml:space="preserve">N IH DH </t>
  </si>
  <si>
    <t xml:space="preserve">N IH F </t>
  </si>
  <si>
    <t xml:space="preserve">N IH JH </t>
  </si>
  <si>
    <t xml:space="preserve">N IH SH </t>
  </si>
  <si>
    <t xml:space="preserve">N IH TH </t>
  </si>
  <si>
    <t xml:space="preserve">N IH V </t>
  </si>
  <si>
    <t xml:space="preserve">N IH Z </t>
  </si>
  <si>
    <t xml:space="preserve">N IH ZH </t>
  </si>
  <si>
    <t xml:space="preserve">N IY CH </t>
  </si>
  <si>
    <t xml:space="preserve">N IY DH </t>
  </si>
  <si>
    <t xml:space="preserve">N IY G </t>
  </si>
  <si>
    <t xml:space="preserve">N IY JH </t>
  </si>
  <si>
    <t xml:space="preserve">N IY K </t>
  </si>
  <si>
    <t xml:space="preserve">N IY SH </t>
  </si>
  <si>
    <t xml:space="preserve">N IY TH </t>
  </si>
  <si>
    <t xml:space="preserve">N IY ZH </t>
  </si>
  <si>
    <t xml:space="preserve">P IH B </t>
  </si>
  <si>
    <t xml:space="preserve">P IH D </t>
  </si>
  <si>
    <t xml:space="preserve">P IH DH </t>
  </si>
  <si>
    <t xml:space="preserve">P IH F </t>
  </si>
  <si>
    <t xml:space="preserve">P IH JH </t>
  </si>
  <si>
    <t xml:space="preserve">P IH SH </t>
  </si>
  <si>
    <t xml:space="preserve">P IH V </t>
  </si>
  <si>
    <t xml:space="preserve">P IH Z </t>
  </si>
  <si>
    <t xml:space="preserve">P IH ZH </t>
  </si>
  <si>
    <t xml:space="preserve">P IY B </t>
  </si>
  <si>
    <t xml:space="preserve">P IY DH </t>
  </si>
  <si>
    <t xml:space="preserve">P IY F </t>
  </si>
  <si>
    <t xml:space="preserve">P IY JH </t>
  </si>
  <si>
    <t xml:space="preserve">P IY SH </t>
  </si>
  <si>
    <t xml:space="preserve">P IY ZH </t>
  </si>
  <si>
    <t xml:space="preserve">R IH DH </t>
  </si>
  <si>
    <t xml:space="preserve">R IH V </t>
  </si>
  <si>
    <t xml:space="preserve">R IH ZH </t>
  </si>
  <si>
    <t xml:space="preserve">R IY DH </t>
  </si>
  <si>
    <t xml:space="preserve">R IY SH </t>
  </si>
  <si>
    <t xml:space="preserve">R IY T </t>
  </si>
  <si>
    <t xml:space="preserve">R IY ZH </t>
  </si>
  <si>
    <t xml:space="preserve">S IH CH </t>
  </si>
  <si>
    <t xml:space="preserve">S IH DH </t>
  </si>
  <si>
    <t xml:space="preserve">S IH F </t>
  </si>
  <si>
    <t xml:space="preserve">S IH JH </t>
  </si>
  <si>
    <t xml:space="preserve">S IH SH </t>
  </si>
  <si>
    <t xml:space="preserve">S IH Z </t>
  </si>
  <si>
    <t xml:space="preserve">S IH ZH </t>
  </si>
  <si>
    <t xml:space="preserve">S IY CH </t>
  </si>
  <si>
    <t xml:space="preserve">S IY SH </t>
  </si>
  <si>
    <t xml:space="preserve">S IY V </t>
  </si>
  <si>
    <t xml:space="preserve">S IY ZH </t>
  </si>
  <si>
    <t xml:space="preserve">SH IH B </t>
  </si>
  <si>
    <t xml:space="preserve">SH IH CH </t>
  </si>
  <si>
    <t xml:space="preserve">SH IH D </t>
  </si>
  <si>
    <t xml:space="preserve">SH IH DH </t>
  </si>
  <si>
    <t xml:space="preserve">SH IH G </t>
  </si>
  <si>
    <t xml:space="preserve">SH IH JH </t>
  </si>
  <si>
    <t xml:space="preserve">SH IH S </t>
  </si>
  <si>
    <t xml:space="preserve">SH IH SH </t>
  </si>
  <si>
    <t xml:space="preserve">SH IH TH </t>
  </si>
  <si>
    <t xml:space="preserve">SH IH V </t>
  </si>
  <si>
    <t xml:space="preserve">SH IH Z </t>
  </si>
  <si>
    <t xml:space="preserve">SH IH ZH </t>
  </si>
  <si>
    <t xml:space="preserve">SH IY B </t>
  </si>
  <si>
    <t xml:space="preserve">SH IY CH </t>
  </si>
  <si>
    <t xml:space="preserve">SH IY D </t>
  </si>
  <si>
    <t xml:space="preserve">SH IY G </t>
  </si>
  <si>
    <t xml:space="preserve">SH IY JH </t>
  </si>
  <si>
    <t xml:space="preserve">SH IY Z </t>
  </si>
  <si>
    <t xml:space="preserve">SH IY ZH </t>
  </si>
  <si>
    <t xml:space="preserve">T IH B </t>
  </si>
  <si>
    <t xml:space="preserve">T IH CH </t>
  </si>
  <si>
    <t xml:space="preserve">T IH DH </t>
  </si>
  <si>
    <t xml:space="preserve">T IH JH </t>
  </si>
  <si>
    <t xml:space="preserve">T IH S </t>
  </si>
  <si>
    <t xml:space="preserve">T IH TH </t>
  </si>
  <si>
    <t xml:space="preserve">T IH V </t>
  </si>
  <si>
    <t xml:space="preserve">T IH ZH </t>
  </si>
  <si>
    <t xml:space="preserve">T IY B </t>
  </si>
  <si>
    <t xml:space="preserve">T IY F </t>
  </si>
  <si>
    <t xml:space="preserve">T IY JH </t>
  </si>
  <si>
    <t xml:space="preserve">T IY SH </t>
  </si>
  <si>
    <t xml:space="preserve">T IY V </t>
  </si>
  <si>
    <t xml:space="preserve">T IY ZH </t>
  </si>
  <si>
    <t xml:space="preserve">TH IH B </t>
  </si>
  <si>
    <t xml:space="preserve">TH IH CH </t>
  </si>
  <si>
    <t xml:space="preserve">TH IH D </t>
  </si>
  <si>
    <t xml:space="preserve">TH IH DH </t>
  </si>
  <si>
    <t xml:space="preserve">TH IH F </t>
  </si>
  <si>
    <t xml:space="preserve">TH IH G </t>
  </si>
  <si>
    <t xml:space="preserve">TH IH JH </t>
  </si>
  <si>
    <t xml:space="preserve">TH IH P </t>
  </si>
  <si>
    <t xml:space="preserve">TH IH S </t>
  </si>
  <si>
    <t xml:space="preserve">TH IH SH </t>
  </si>
  <si>
    <t xml:space="preserve">TH IH T </t>
  </si>
  <si>
    <t xml:space="preserve">TH IH TH </t>
  </si>
  <si>
    <t xml:space="preserve">TH IH V </t>
  </si>
  <si>
    <t xml:space="preserve">TH IH Z </t>
  </si>
  <si>
    <t xml:space="preserve">TH IH ZH </t>
  </si>
  <si>
    <t xml:space="preserve">TH IY B </t>
  </si>
  <si>
    <t xml:space="preserve">TH IY CH </t>
  </si>
  <si>
    <t xml:space="preserve">TH IY DH </t>
  </si>
  <si>
    <t xml:space="preserve">TH IY G </t>
  </si>
  <si>
    <t xml:space="preserve">TH IY JH </t>
  </si>
  <si>
    <t xml:space="preserve">TH IY K </t>
  </si>
  <si>
    <t xml:space="preserve">TH IY P </t>
  </si>
  <si>
    <t xml:space="preserve">TH IY S </t>
  </si>
  <si>
    <t xml:space="preserve">TH IY SH </t>
  </si>
  <si>
    <t xml:space="preserve">TH IY T </t>
  </si>
  <si>
    <t xml:space="preserve">TH IY TH </t>
  </si>
  <si>
    <t xml:space="preserve">TH IY V </t>
  </si>
  <si>
    <t xml:space="preserve">TH IY ZH </t>
  </si>
  <si>
    <t xml:space="preserve">V IH B </t>
  </si>
  <si>
    <t xml:space="preserve">V IH CH </t>
  </si>
  <si>
    <t xml:space="preserve">V IH D </t>
  </si>
  <si>
    <t xml:space="preserve">V IH DH </t>
  </si>
  <si>
    <t xml:space="preserve">V IH F </t>
  </si>
  <si>
    <t xml:space="preserve">V IH JH </t>
  </si>
  <si>
    <t xml:space="preserve">V IH P </t>
  </si>
  <si>
    <t xml:space="preserve">V IH TH </t>
  </si>
  <si>
    <t xml:space="preserve">V IH Z </t>
  </si>
  <si>
    <t xml:space="preserve">V IH ZH </t>
  </si>
  <si>
    <t xml:space="preserve">V IY B </t>
  </si>
  <si>
    <t xml:space="preserve">V IY D </t>
  </si>
  <si>
    <t xml:space="preserve">V IY DH </t>
  </si>
  <si>
    <t xml:space="preserve">V IY F </t>
  </si>
  <si>
    <t xml:space="preserve">V IY JH </t>
  </si>
  <si>
    <t xml:space="preserve">V IY K </t>
  </si>
  <si>
    <t xml:space="preserve">V IY S </t>
  </si>
  <si>
    <t xml:space="preserve">V IY SH </t>
  </si>
  <si>
    <t xml:space="preserve">V IY ZH </t>
  </si>
  <si>
    <t xml:space="preserve">W IH B </t>
  </si>
  <si>
    <t xml:space="preserve">W IH D </t>
  </si>
  <si>
    <t xml:space="preserve">W IH JH </t>
  </si>
  <si>
    <t xml:space="preserve">W IH V </t>
  </si>
  <si>
    <t xml:space="preserve">W IH ZH </t>
  </si>
  <si>
    <t xml:space="preserve">W IY DH </t>
  </si>
  <si>
    <t xml:space="preserve">W IY F </t>
  </si>
  <si>
    <t xml:space="preserve">W IY G </t>
  </si>
  <si>
    <t xml:space="preserve">W IY SH </t>
  </si>
  <si>
    <t xml:space="preserve">W IY ZH </t>
  </si>
  <si>
    <t xml:space="preserve">Y IH B </t>
  </si>
  <si>
    <t xml:space="preserve">Y IH CH </t>
  </si>
  <si>
    <t xml:space="preserve">Y IH D </t>
  </si>
  <si>
    <t xml:space="preserve">Y IH DH </t>
  </si>
  <si>
    <t xml:space="preserve">Y IH F </t>
  </si>
  <si>
    <t xml:space="preserve">Y IH G </t>
  </si>
  <si>
    <t xml:space="preserve">Y IH JH </t>
  </si>
  <si>
    <t xml:space="preserve">Y IH K </t>
  </si>
  <si>
    <t xml:space="preserve">Y IH S </t>
  </si>
  <si>
    <t xml:space="preserve">Y IH SH </t>
  </si>
  <si>
    <t xml:space="preserve">Y IH T </t>
  </si>
  <si>
    <t xml:space="preserve">Y IH TH </t>
  </si>
  <si>
    <t xml:space="preserve">Y IH V </t>
  </si>
  <si>
    <t xml:space="preserve">Y IH Z </t>
  </si>
  <si>
    <t xml:space="preserve">Y IH ZH </t>
  </si>
  <si>
    <t xml:space="preserve">Y IY B </t>
  </si>
  <si>
    <t xml:space="preserve">Y IY CH </t>
  </si>
  <si>
    <t xml:space="preserve">Y IY D </t>
  </si>
  <si>
    <t xml:space="preserve">Y IY DH </t>
  </si>
  <si>
    <t xml:space="preserve">Y IY F </t>
  </si>
  <si>
    <t xml:space="preserve">Y IY G </t>
  </si>
  <si>
    <t xml:space="preserve">Y IY JH </t>
  </si>
  <si>
    <t xml:space="preserve">Y IY K </t>
  </si>
  <si>
    <t xml:space="preserve">Y IY P </t>
  </si>
  <si>
    <t xml:space="preserve">Y IY S </t>
  </si>
  <si>
    <t xml:space="preserve">Y IY SH </t>
  </si>
  <si>
    <t xml:space="preserve">Y IY T </t>
  </si>
  <si>
    <t xml:space="preserve">Y IY TH </t>
  </si>
  <si>
    <t xml:space="preserve">Y IY V </t>
  </si>
  <si>
    <t xml:space="preserve">Y IY Z </t>
  </si>
  <si>
    <t xml:space="preserve">Y IY ZH </t>
  </si>
  <si>
    <t xml:space="preserve">Z IH B </t>
  </si>
  <si>
    <t xml:space="preserve">Z IH D </t>
  </si>
  <si>
    <t xml:space="preserve">Z IH DH </t>
  </si>
  <si>
    <t xml:space="preserve">Z IH JH </t>
  </si>
  <si>
    <t xml:space="preserve">Z IH S </t>
  </si>
  <si>
    <t xml:space="preserve">Z IH SH </t>
  </si>
  <si>
    <t xml:space="preserve">Z IH T </t>
  </si>
  <si>
    <t xml:space="preserve">Z IH TH </t>
  </si>
  <si>
    <t xml:space="preserve">Z IH Z </t>
  </si>
  <si>
    <t xml:space="preserve">Z IH ZH </t>
  </si>
  <si>
    <t xml:space="preserve">Z IY CH </t>
  </si>
  <si>
    <t xml:space="preserve">Z IY D </t>
  </si>
  <si>
    <t xml:space="preserve">Z IY DH </t>
  </si>
  <si>
    <t xml:space="preserve">Z IY F </t>
  </si>
  <si>
    <t xml:space="preserve">Z IY JH </t>
  </si>
  <si>
    <t xml:space="preserve">Z IY P </t>
  </si>
  <si>
    <t xml:space="preserve">Z IY S </t>
  </si>
  <si>
    <t xml:space="preserve">Z IY SH </t>
  </si>
  <si>
    <t xml:space="preserve">Z IY T </t>
  </si>
  <si>
    <t xml:space="preserve">Z IY TH </t>
  </si>
  <si>
    <t xml:space="preserve">Z IY V </t>
  </si>
  <si>
    <t xml:space="preserve">Z IY ZH </t>
  </si>
  <si>
    <t>ZH</t>
  </si>
  <si>
    <t>actualWord</t>
  </si>
  <si>
    <t>vowel</t>
  </si>
  <si>
    <t>coda</t>
  </si>
  <si>
    <t xml:space="preserve">C </t>
  </si>
  <si>
    <t xml:space="preserve">I </t>
  </si>
  <si>
    <t xml:space="preserve">O </t>
  </si>
  <si>
    <t>maxent</t>
  </si>
  <si>
    <t>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</si>
</sst>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8" fillId="0" borderId="0" xfId="0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io_allPossible" connectionId="1" xr16:uid="{5A7FEE36-8BF7-BE43-8631-162E8D3671E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io_comparison" connectionId="2" xr16:uid="{EAE60C82-A3C5-1443-B23A-42D07497293F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io_maxent" connectionId="4" xr16:uid="{FB730231-FF5D-D54F-B037-89656F03B948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io_maxent" connectionId="5" xr16:uid="{A814EA91-11B3-C446-96D9-8C02DED1C3E6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io_maxent" connectionId="3" xr16:uid="{6840052E-A151-CF4F-882B-F065B33BDE7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EA3A-3381-1F45-BAE1-001BAD563930}">
  <dimension ref="A1:J705"/>
  <sheetViews>
    <sheetView tabSelected="1" zoomScale="137" workbookViewId="0">
      <selection activeCell="K4" sqref="K4"/>
    </sheetView>
  </sheetViews>
  <sheetFormatPr baseColWidth="10" defaultRowHeight="16" x14ac:dyDescent="0.2"/>
  <cols>
    <col min="3" max="3" width="12.6640625" customWidth="1"/>
    <col min="5" max="7" width="3.5" customWidth="1"/>
    <col min="8" max="9" width="6.6640625" customWidth="1"/>
    <col min="10" max="10" width="11.1640625" customWidth="1"/>
  </cols>
  <sheetData>
    <row r="1" spans="1:10" x14ac:dyDescent="0.2">
      <c r="A1" t="s">
        <v>727</v>
      </c>
      <c r="B1" t="s">
        <v>725</v>
      </c>
      <c r="C1" t="s">
        <v>1114</v>
      </c>
      <c r="D1" t="s">
        <v>1115</v>
      </c>
      <c r="E1" t="s">
        <v>1111</v>
      </c>
      <c r="F1" t="s">
        <v>1112</v>
      </c>
      <c r="G1" t="s">
        <v>1113</v>
      </c>
      <c r="H1" t="s">
        <v>1109</v>
      </c>
      <c r="I1" t="s">
        <v>1110</v>
      </c>
      <c r="J1" t="s">
        <v>1108</v>
      </c>
    </row>
    <row r="2" spans="1:10" x14ac:dyDescent="0.2">
      <c r="A2" t="s">
        <v>77</v>
      </c>
      <c r="B2">
        <v>0.33700000000000002</v>
      </c>
      <c r="C2">
        <f>EXP(-B2)</f>
        <v>0.71390883990272003</v>
      </c>
      <c r="D2">
        <f>C2/366.627854</f>
        <v>1.9472302284559099E-3</v>
      </c>
      <c r="E2" t="s">
        <v>9</v>
      </c>
      <c r="F2" t="s">
        <v>689</v>
      </c>
      <c r="G2" t="s">
        <v>0</v>
      </c>
      <c r="H2" t="s">
        <v>5</v>
      </c>
      <c r="I2" t="s">
        <v>9</v>
      </c>
      <c r="J2" t="s">
        <v>19</v>
      </c>
    </row>
    <row r="3" spans="1:10" x14ac:dyDescent="0.2">
      <c r="A3" t="s">
        <v>120</v>
      </c>
      <c r="B3">
        <v>0.33700000000000002</v>
      </c>
      <c r="C3">
        <f t="shared" ref="C3:C66" si="0">EXP(-B3)</f>
        <v>0.71390883990272003</v>
      </c>
      <c r="D3">
        <f t="shared" ref="D3:D66" si="1">C3/366.627854</f>
        <v>1.9472302284559099E-3</v>
      </c>
      <c r="E3" t="s">
        <v>10</v>
      </c>
      <c r="F3" t="s">
        <v>689</v>
      </c>
      <c r="G3" t="s">
        <v>0</v>
      </c>
      <c r="H3" t="s">
        <v>5</v>
      </c>
      <c r="I3" t="s">
        <v>9</v>
      </c>
      <c r="J3" t="s">
        <v>19</v>
      </c>
    </row>
    <row r="4" spans="1:10" x14ac:dyDescent="0.2">
      <c r="A4" t="s">
        <v>171</v>
      </c>
      <c r="B4">
        <v>0.33700000000000002</v>
      </c>
      <c r="C4">
        <f t="shared" si="0"/>
        <v>0.71390883990272003</v>
      </c>
      <c r="D4">
        <f t="shared" si="1"/>
        <v>1.9472302284559099E-3</v>
      </c>
      <c r="E4" t="s">
        <v>5</v>
      </c>
      <c r="F4" t="s">
        <v>689</v>
      </c>
      <c r="G4" t="s">
        <v>0</v>
      </c>
      <c r="H4" t="s">
        <v>5</v>
      </c>
      <c r="I4" t="s">
        <v>9</v>
      </c>
      <c r="J4" t="s">
        <v>19</v>
      </c>
    </row>
    <row r="5" spans="1:10" x14ac:dyDescent="0.2">
      <c r="A5" t="s">
        <v>211</v>
      </c>
      <c r="B5">
        <v>0.33700000000000002</v>
      </c>
      <c r="C5">
        <f t="shared" si="0"/>
        <v>0.71390883990272003</v>
      </c>
      <c r="D5">
        <f t="shared" si="1"/>
        <v>1.9472302284559099E-3</v>
      </c>
      <c r="E5" t="s">
        <v>13</v>
      </c>
      <c r="F5" t="s">
        <v>689</v>
      </c>
      <c r="G5" t="s">
        <v>0</v>
      </c>
      <c r="H5" t="s">
        <v>5</v>
      </c>
      <c r="I5" t="s">
        <v>9</v>
      </c>
      <c r="J5" t="s">
        <v>19</v>
      </c>
    </row>
    <row r="6" spans="1:10" x14ac:dyDescent="0.2">
      <c r="A6" t="s">
        <v>249</v>
      </c>
      <c r="B6">
        <v>0.33700000000000002</v>
      </c>
      <c r="C6">
        <f t="shared" si="0"/>
        <v>0.71390883990272003</v>
      </c>
      <c r="D6">
        <f t="shared" si="1"/>
        <v>1.9472302284559099E-3</v>
      </c>
      <c r="E6" t="s">
        <v>14</v>
      </c>
      <c r="F6" t="s">
        <v>689</v>
      </c>
      <c r="G6" t="s">
        <v>0</v>
      </c>
      <c r="H6" t="s">
        <v>5</v>
      </c>
      <c r="I6" t="s">
        <v>9</v>
      </c>
      <c r="J6" t="s">
        <v>19</v>
      </c>
    </row>
    <row r="7" spans="1:10" x14ac:dyDescent="0.2">
      <c r="A7" t="s">
        <v>270</v>
      </c>
      <c r="B7">
        <v>0.33700000000000002</v>
      </c>
      <c r="C7">
        <f t="shared" si="0"/>
        <v>0.71390883990272003</v>
      </c>
      <c r="D7">
        <f t="shared" si="1"/>
        <v>1.9472302284559099E-3</v>
      </c>
      <c r="E7" t="s">
        <v>1</v>
      </c>
      <c r="F7" t="s">
        <v>689</v>
      </c>
      <c r="G7" t="s">
        <v>0</v>
      </c>
      <c r="H7" t="s">
        <v>5</v>
      </c>
      <c r="I7" t="s">
        <v>9</v>
      </c>
      <c r="J7" t="s">
        <v>19</v>
      </c>
    </row>
    <row r="8" spans="1:10" x14ac:dyDescent="0.2">
      <c r="A8" t="s">
        <v>341</v>
      </c>
      <c r="B8">
        <v>0.33700000000000002</v>
      </c>
      <c r="C8">
        <f t="shared" si="0"/>
        <v>0.71390883990272003</v>
      </c>
      <c r="D8">
        <f t="shared" si="1"/>
        <v>1.9472302284559099E-3</v>
      </c>
      <c r="E8" t="s">
        <v>18</v>
      </c>
      <c r="F8" t="s">
        <v>689</v>
      </c>
      <c r="G8" t="s">
        <v>0</v>
      </c>
      <c r="H8" t="s">
        <v>5</v>
      </c>
      <c r="I8" t="s">
        <v>9</v>
      </c>
      <c r="J8" t="s">
        <v>19</v>
      </c>
    </row>
    <row r="9" spans="1:10" x14ac:dyDescent="0.2">
      <c r="A9" t="s">
        <v>359</v>
      </c>
      <c r="B9">
        <v>0.99</v>
      </c>
      <c r="C9">
        <f t="shared" si="0"/>
        <v>0.37157669102204571</v>
      </c>
      <c r="D9">
        <f t="shared" si="1"/>
        <v>1.013498257069267E-3</v>
      </c>
      <c r="E9" t="s">
        <v>20</v>
      </c>
      <c r="F9" t="s">
        <v>689</v>
      </c>
      <c r="G9" t="s">
        <v>0</v>
      </c>
      <c r="H9" t="s">
        <v>5</v>
      </c>
      <c r="I9" t="s">
        <v>9</v>
      </c>
      <c r="J9" t="s">
        <v>19</v>
      </c>
    </row>
    <row r="10" spans="1:10" x14ac:dyDescent="0.2">
      <c r="A10" t="s">
        <v>50</v>
      </c>
      <c r="B10">
        <v>0</v>
      </c>
      <c r="C10">
        <f t="shared" si="0"/>
        <v>1</v>
      </c>
      <c r="D10">
        <f t="shared" si="1"/>
        <v>2.7275614470907055E-3</v>
      </c>
      <c r="E10" t="s">
        <v>0</v>
      </c>
      <c r="F10" t="s">
        <v>689</v>
      </c>
      <c r="G10" t="s">
        <v>9</v>
      </c>
      <c r="H10" t="s">
        <v>5</v>
      </c>
      <c r="I10" t="s">
        <v>9</v>
      </c>
      <c r="J10" t="s">
        <v>19</v>
      </c>
    </row>
    <row r="11" spans="1:10" x14ac:dyDescent="0.2">
      <c r="A11" t="s">
        <v>79</v>
      </c>
      <c r="B11">
        <v>0</v>
      </c>
      <c r="C11">
        <f t="shared" si="0"/>
        <v>1</v>
      </c>
      <c r="D11">
        <f t="shared" si="1"/>
        <v>2.7275614470907055E-3</v>
      </c>
      <c r="E11" t="s">
        <v>9</v>
      </c>
      <c r="F11" t="s">
        <v>689</v>
      </c>
      <c r="G11" t="s">
        <v>9</v>
      </c>
      <c r="H11" t="s">
        <v>5</v>
      </c>
      <c r="I11" t="s">
        <v>9</v>
      </c>
      <c r="J11" t="s">
        <v>19</v>
      </c>
    </row>
    <row r="12" spans="1:10" x14ac:dyDescent="0.2">
      <c r="A12" t="s">
        <v>96</v>
      </c>
      <c r="B12">
        <v>0.26300000000000001</v>
      </c>
      <c r="C12">
        <f t="shared" si="0"/>
        <v>0.76874189731116027</v>
      </c>
      <c r="D12">
        <f t="shared" si="1"/>
        <v>2.0967907618692828E-3</v>
      </c>
      <c r="E12" t="s">
        <v>24</v>
      </c>
      <c r="F12" t="s">
        <v>689</v>
      </c>
      <c r="G12" t="s">
        <v>9</v>
      </c>
      <c r="H12" t="s">
        <v>5</v>
      </c>
      <c r="I12" t="s">
        <v>9</v>
      </c>
      <c r="J12" t="s">
        <v>19</v>
      </c>
    </row>
    <row r="13" spans="1:10" x14ac:dyDescent="0.2">
      <c r="A13" t="s">
        <v>108</v>
      </c>
      <c r="B13">
        <v>0.69099999999999995</v>
      </c>
      <c r="C13">
        <f t="shared" si="0"/>
        <v>0.50107474370144889</v>
      </c>
      <c r="D13">
        <f t="shared" si="1"/>
        <v>1.3667121530309284E-3</v>
      </c>
      <c r="E13" t="s">
        <v>23</v>
      </c>
      <c r="F13" t="s">
        <v>689</v>
      </c>
      <c r="G13" t="s">
        <v>9</v>
      </c>
      <c r="H13" t="s">
        <v>5</v>
      </c>
      <c r="I13" t="s">
        <v>9</v>
      </c>
      <c r="J13" t="s">
        <v>19</v>
      </c>
    </row>
    <row r="14" spans="1:10" x14ac:dyDescent="0.2">
      <c r="A14" t="s">
        <v>121</v>
      </c>
      <c r="B14">
        <v>0</v>
      </c>
      <c r="C14">
        <f t="shared" si="0"/>
        <v>1</v>
      </c>
      <c r="D14">
        <f t="shared" si="1"/>
        <v>2.7275614470907055E-3</v>
      </c>
      <c r="E14" t="s">
        <v>10</v>
      </c>
      <c r="F14" t="s">
        <v>689</v>
      </c>
      <c r="G14" t="s">
        <v>9</v>
      </c>
      <c r="H14" t="s">
        <v>5</v>
      </c>
      <c r="I14" t="s">
        <v>9</v>
      </c>
      <c r="J14" t="s">
        <v>19</v>
      </c>
    </row>
    <row r="15" spans="1:10" x14ac:dyDescent="0.2">
      <c r="A15" t="s">
        <v>152</v>
      </c>
      <c r="B15">
        <v>0</v>
      </c>
      <c r="C15">
        <f t="shared" si="0"/>
        <v>1</v>
      </c>
      <c r="D15">
        <f t="shared" si="1"/>
        <v>2.7275614470907055E-3</v>
      </c>
      <c r="E15" t="s">
        <v>12</v>
      </c>
      <c r="F15" t="s">
        <v>689</v>
      </c>
      <c r="G15" t="s">
        <v>9</v>
      </c>
      <c r="H15" t="s">
        <v>5</v>
      </c>
      <c r="I15" t="s">
        <v>9</v>
      </c>
      <c r="J15" t="s">
        <v>19</v>
      </c>
    </row>
    <row r="16" spans="1:10" x14ac:dyDescent="0.2">
      <c r="A16" t="s">
        <v>173</v>
      </c>
      <c r="B16">
        <v>0</v>
      </c>
      <c r="C16">
        <f t="shared" si="0"/>
        <v>1</v>
      </c>
      <c r="D16">
        <f t="shared" si="1"/>
        <v>2.7275614470907055E-3</v>
      </c>
      <c r="E16" t="s">
        <v>5</v>
      </c>
      <c r="F16" t="s">
        <v>689</v>
      </c>
      <c r="G16" t="s">
        <v>9</v>
      </c>
      <c r="H16" t="s">
        <v>5</v>
      </c>
      <c r="I16" t="s">
        <v>9</v>
      </c>
      <c r="J16" t="s">
        <v>19</v>
      </c>
    </row>
    <row r="17" spans="1:10" x14ac:dyDescent="0.2">
      <c r="A17" t="s">
        <v>197</v>
      </c>
      <c r="B17">
        <v>0</v>
      </c>
      <c r="C17">
        <f t="shared" si="0"/>
        <v>1</v>
      </c>
      <c r="D17">
        <f t="shared" si="1"/>
        <v>2.7275614470907055E-3</v>
      </c>
      <c r="E17" t="s">
        <v>22</v>
      </c>
      <c r="F17" t="s">
        <v>689</v>
      </c>
      <c r="G17" t="s">
        <v>9</v>
      </c>
      <c r="H17" t="s">
        <v>5</v>
      </c>
      <c r="I17" t="s">
        <v>9</v>
      </c>
      <c r="J17" t="s">
        <v>19</v>
      </c>
    </row>
    <row r="18" spans="1:10" x14ac:dyDescent="0.2">
      <c r="A18" t="s">
        <v>212</v>
      </c>
      <c r="B18">
        <v>0</v>
      </c>
      <c r="C18">
        <f t="shared" si="0"/>
        <v>1</v>
      </c>
      <c r="D18">
        <f t="shared" si="1"/>
        <v>2.7275614470907055E-3</v>
      </c>
      <c r="E18" t="s">
        <v>13</v>
      </c>
      <c r="F18" t="s">
        <v>689</v>
      </c>
      <c r="G18" t="s">
        <v>9</v>
      </c>
      <c r="H18" t="s">
        <v>5</v>
      </c>
      <c r="I18" t="s">
        <v>9</v>
      </c>
      <c r="J18" t="s">
        <v>19</v>
      </c>
    </row>
    <row r="19" spans="1:10" x14ac:dyDescent="0.2">
      <c r="A19" t="s">
        <v>227</v>
      </c>
      <c r="B19">
        <v>0</v>
      </c>
      <c r="C19">
        <f t="shared" si="0"/>
        <v>1</v>
      </c>
      <c r="D19">
        <f t="shared" si="1"/>
        <v>2.7275614470907055E-3</v>
      </c>
      <c r="E19" t="s">
        <v>2</v>
      </c>
      <c r="F19" t="s">
        <v>689</v>
      </c>
      <c r="G19" t="s">
        <v>9</v>
      </c>
      <c r="H19" t="s">
        <v>5</v>
      </c>
      <c r="I19" t="s">
        <v>9</v>
      </c>
      <c r="J19" t="s">
        <v>19</v>
      </c>
    </row>
    <row r="20" spans="1:10" x14ac:dyDescent="0.2">
      <c r="A20" t="s">
        <v>251</v>
      </c>
      <c r="B20">
        <v>0</v>
      </c>
      <c r="C20">
        <f t="shared" si="0"/>
        <v>1</v>
      </c>
      <c r="D20">
        <f t="shared" si="1"/>
        <v>2.7275614470907055E-3</v>
      </c>
      <c r="E20" t="s">
        <v>14</v>
      </c>
      <c r="F20" t="s">
        <v>689</v>
      </c>
      <c r="G20" t="s">
        <v>9</v>
      </c>
      <c r="H20" t="s">
        <v>5</v>
      </c>
      <c r="I20" t="s">
        <v>9</v>
      </c>
      <c r="J20" t="s">
        <v>19</v>
      </c>
    </row>
    <row r="21" spans="1:10" x14ac:dyDescent="0.2">
      <c r="A21" t="s">
        <v>271</v>
      </c>
      <c r="B21">
        <v>0</v>
      </c>
      <c r="C21">
        <f t="shared" si="0"/>
        <v>1</v>
      </c>
      <c r="D21">
        <f t="shared" si="1"/>
        <v>2.7275614470907055E-3</v>
      </c>
      <c r="E21" t="s">
        <v>1</v>
      </c>
      <c r="F21" t="s">
        <v>689</v>
      </c>
      <c r="G21" t="s">
        <v>9</v>
      </c>
      <c r="H21" t="s">
        <v>5</v>
      </c>
      <c r="I21" t="s">
        <v>9</v>
      </c>
      <c r="J21" t="s">
        <v>19</v>
      </c>
    </row>
    <row r="22" spans="1:10" x14ac:dyDescent="0.2">
      <c r="A22" t="s">
        <v>304</v>
      </c>
      <c r="B22">
        <v>0</v>
      </c>
      <c r="C22">
        <f t="shared" si="0"/>
        <v>1</v>
      </c>
      <c r="D22">
        <f t="shared" si="1"/>
        <v>2.7275614470907055E-3</v>
      </c>
      <c r="E22" t="s">
        <v>16</v>
      </c>
      <c r="F22" t="s">
        <v>689</v>
      </c>
      <c r="G22" t="s">
        <v>9</v>
      </c>
      <c r="H22" t="s">
        <v>5</v>
      </c>
      <c r="I22" t="s">
        <v>9</v>
      </c>
      <c r="J22" t="s">
        <v>19</v>
      </c>
    </row>
    <row r="23" spans="1:10" x14ac:dyDescent="0.2">
      <c r="A23" t="s">
        <v>314</v>
      </c>
      <c r="B23">
        <v>1.28</v>
      </c>
      <c r="C23">
        <f t="shared" si="0"/>
        <v>0.27803730045319414</v>
      </c>
      <c r="D23">
        <f t="shared" si="1"/>
        <v>7.5836382156930756E-4</v>
      </c>
      <c r="E23" t="s">
        <v>25</v>
      </c>
      <c r="F23" t="s">
        <v>689</v>
      </c>
      <c r="G23" t="s">
        <v>9</v>
      </c>
      <c r="H23" t="s">
        <v>5</v>
      </c>
      <c r="I23" t="s">
        <v>9</v>
      </c>
      <c r="J23" t="s">
        <v>19</v>
      </c>
    </row>
    <row r="24" spans="1:10" x14ac:dyDescent="0.2">
      <c r="A24" t="s">
        <v>343</v>
      </c>
      <c r="B24">
        <v>0</v>
      </c>
      <c r="C24">
        <f t="shared" si="0"/>
        <v>1</v>
      </c>
      <c r="D24">
        <f t="shared" si="1"/>
        <v>2.7275614470907055E-3</v>
      </c>
      <c r="E24" t="s">
        <v>18</v>
      </c>
      <c r="F24" t="s">
        <v>689</v>
      </c>
      <c r="G24" t="s">
        <v>9</v>
      </c>
      <c r="H24" t="s">
        <v>5</v>
      </c>
      <c r="I24" t="s">
        <v>9</v>
      </c>
      <c r="J24" t="s">
        <v>19</v>
      </c>
    </row>
    <row r="25" spans="1:10" x14ac:dyDescent="0.2">
      <c r="A25" t="s">
        <v>272</v>
      </c>
      <c r="B25">
        <v>1.6439999999999999</v>
      </c>
      <c r="C25">
        <f t="shared" si="0"/>
        <v>0.1932056718950137</v>
      </c>
      <c r="D25">
        <f t="shared" si="1"/>
        <v>5.2698034202009565E-4</v>
      </c>
      <c r="E25" t="s">
        <v>1</v>
      </c>
      <c r="F25" t="s">
        <v>689</v>
      </c>
      <c r="G25" t="s">
        <v>26</v>
      </c>
      <c r="H25" t="s">
        <v>5</v>
      </c>
      <c r="I25" t="s">
        <v>9</v>
      </c>
      <c r="J25" t="s">
        <v>19</v>
      </c>
    </row>
    <row r="26" spans="1:10" x14ac:dyDescent="0.2">
      <c r="A26" t="s">
        <v>286</v>
      </c>
      <c r="B26">
        <v>2.0209999999999999</v>
      </c>
      <c r="C26">
        <f t="shared" si="0"/>
        <v>0.13252287592067044</v>
      </c>
      <c r="D26">
        <f t="shared" si="1"/>
        <v>3.614642872188059E-4</v>
      </c>
      <c r="E26" t="s">
        <v>15</v>
      </c>
      <c r="F26" t="s">
        <v>689</v>
      </c>
      <c r="G26" t="s">
        <v>26</v>
      </c>
      <c r="H26" t="s">
        <v>5</v>
      </c>
      <c r="I26" t="s">
        <v>9</v>
      </c>
      <c r="J26" t="s">
        <v>19</v>
      </c>
    </row>
    <row r="27" spans="1:10" x14ac:dyDescent="0.2">
      <c r="A27" t="s">
        <v>305</v>
      </c>
      <c r="B27">
        <v>1.6439999999999999</v>
      </c>
      <c r="C27">
        <f t="shared" si="0"/>
        <v>0.1932056718950137</v>
      </c>
      <c r="D27">
        <f t="shared" si="1"/>
        <v>5.2698034202009565E-4</v>
      </c>
      <c r="E27" t="s">
        <v>16</v>
      </c>
      <c r="F27" t="s">
        <v>689</v>
      </c>
      <c r="G27" t="s">
        <v>26</v>
      </c>
      <c r="H27" t="s">
        <v>5</v>
      </c>
      <c r="I27" t="s">
        <v>9</v>
      </c>
      <c r="J27" t="s">
        <v>19</v>
      </c>
    </row>
    <row r="28" spans="1:10" x14ac:dyDescent="0.2">
      <c r="A28" t="s">
        <v>80</v>
      </c>
      <c r="B28">
        <v>0</v>
      </c>
      <c r="C28">
        <f t="shared" si="0"/>
        <v>1</v>
      </c>
      <c r="D28">
        <f t="shared" si="1"/>
        <v>2.7275614470907055E-3</v>
      </c>
      <c r="E28" t="s">
        <v>9</v>
      </c>
      <c r="F28" t="s">
        <v>689</v>
      </c>
      <c r="G28" t="s">
        <v>23</v>
      </c>
      <c r="H28" t="s">
        <v>5</v>
      </c>
      <c r="I28" t="s">
        <v>9</v>
      </c>
      <c r="J28" t="s">
        <v>19</v>
      </c>
    </row>
    <row r="29" spans="1:10" x14ac:dyDescent="0.2">
      <c r="A29" t="s">
        <v>98</v>
      </c>
      <c r="B29">
        <v>0.26300000000000001</v>
      </c>
      <c r="C29">
        <f t="shared" si="0"/>
        <v>0.76874189731116027</v>
      </c>
      <c r="D29">
        <f t="shared" si="1"/>
        <v>2.0967907618692828E-3</v>
      </c>
      <c r="E29" t="s">
        <v>24</v>
      </c>
      <c r="F29" t="s">
        <v>689</v>
      </c>
      <c r="G29" t="s">
        <v>23</v>
      </c>
      <c r="H29" t="s">
        <v>5</v>
      </c>
      <c r="I29" t="s">
        <v>9</v>
      </c>
      <c r="J29" t="s">
        <v>19</v>
      </c>
    </row>
    <row r="30" spans="1:10" x14ac:dyDescent="0.2">
      <c r="A30" t="s">
        <v>122</v>
      </c>
      <c r="B30">
        <v>0</v>
      </c>
      <c r="C30">
        <f t="shared" si="0"/>
        <v>1</v>
      </c>
      <c r="D30">
        <f t="shared" si="1"/>
        <v>2.7275614470907055E-3</v>
      </c>
      <c r="E30" t="s">
        <v>10</v>
      </c>
      <c r="F30" t="s">
        <v>689</v>
      </c>
      <c r="G30" t="s">
        <v>23</v>
      </c>
      <c r="H30" t="s">
        <v>5</v>
      </c>
      <c r="I30" t="s">
        <v>9</v>
      </c>
      <c r="J30" t="s">
        <v>19</v>
      </c>
    </row>
    <row r="31" spans="1:10" x14ac:dyDescent="0.2">
      <c r="A31" t="s">
        <v>175</v>
      </c>
      <c r="B31">
        <v>0</v>
      </c>
      <c r="C31">
        <f t="shared" si="0"/>
        <v>1</v>
      </c>
      <c r="D31">
        <f t="shared" si="1"/>
        <v>2.7275614470907055E-3</v>
      </c>
      <c r="E31" t="s">
        <v>5</v>
      </c>
      <c r="F31" t="s">
        <v>689</v>
      </c>
      <c r="G31" t="s">
        <v>23</v>
      </c>
      <c r="H31" t="s">
        <v>5</v>
      </c>
      <c r="I31" t="s">
        <v>9</v>
      </c>
      <c r="J31" t="s">
        <v>19</v>
      </c>
    </row>
    <row r="32" spans="1:10" x14ac:dyDescent="0.2">
      <c r="A32" t="s">
        <v>228</v>
      </c>
      <c r="B32">
        <v>0</v>
      </c>
      <c r="C32">
        <f t="shared" si="0"/>
        <v>1</v>
      </c>
      <c r="D32">
        <f t="shared" si="1"/>
        <v>2.7275614470907055E-3</v>
      </c>
      <c r="E32" t="s">
        <v>2</v>
      </c>
      <c r="F32" t="s">
        <v>689</v>
      </c>
      <c r="G32" t="s">
        <v>23</v>
      </c>
      <c r="H32" t="s">
        <v>5</v>
      </c>
      <c r="I32" t="s">
        <v>9</v>
      </c>
      <c r="J32" t="s">
        <v>19</v>
      </c>
    </row>
    <row r="33" spans="1:10" x14ac:dyDescent="0.2">
      <c r="A33" t="s">
        <v>253</v>
      </c>
      <c r="B33">
        <v>0</v>
      </c>
      <c r="C33">
        <f t="shared" si="0"/>
        <v>1</v>
      </c>
      <c r="D33">
        <f t="shared" si="1"/>
        <v>2.7275614470907055E-3</v>
      </c>
      <c r="E33" t="s">
        <v>14</v>
      </c>
      <c r="F33" t="s">
        <v>689</v>
      </c>
      <c r="G33" t="s">
        <v>23</v>
      </c>
      <c r="H33" t="s">
        <v>5</v>
      </c>
      <c r="I33" t="s">
        <v>9</v>
      </c>
      <c r="J33" t="s">
        <v>19</v>
      </c>
    </row>
    <row r="34" spans="1:10" x14ac:dyDescent="0.2">
      <c r="A34" t="s">
        <v>274</v>
      </c>
      <c r="B34">
        <v>0</v>
      </c>
      <c r="C34">
        <f t="shared" si="0"/>
        <v>1</v>
      </c>
      <c r="D34">
        <f t="shared" si="1"/>
        <v>2.7275614470907055E-3</v>
      </c>
      <c r="E34" t="s">
        <v>1</v>
      </c>
      <c r="F34" t="s">
        <v>689</v>
      </c>
      <c r="G34" t="s">
        <v>23</v>
      </c>
      <c r="H34" t="s">
        <v>5</v>
      </c>
      <c r="I34" t="s">
        <v>9</v>
      </c>
      <c r="J34" t="s">
        <v>19</v>
      </c>
    </row>
    <row r="35" spans="1:10" x14ac:dyDescent="0.2">
      <c r="A35" t="s">
        <v>306</v>
      </c>
      <c r="B35">
        <v>0</v>
      </c>
      <c r="C35">
        <f t="shared" si="0"/>
        <v>1</v>
      </c>
      <c r="D35">
        <f t="shared" si="1"/>
        <v>2.7275614470907055E-3</v>
      </c>
      <c r="E35" t="s">
        <v>16</v>
      </c>
      <c r="F35" t="s">
        <v>689</v>
      </c>
      <c r="G35" t="s">
        <v>23</v>
      </c>
      <c r="H35" t="s">
        <v>5</v>
      </c>
      <c r="I35" t="s">
        <v>9</v>
      </c>
      <c r="J35" t="s">
        <v>19</v>
      </c>
    </row>
    <row r="36" spans="1:10" x14ac:dyDescent="0.2">
      <c r="A36" t="s">
        <v>324</v>
      </c>
      <c r="B36">
        <v>0.45200000000000001</v>
      </c>
      <c r="C36">
        <f t="shared" si="0"/>
        <v>0.63635416972508707</v>
      </c>
      <c r="D36">
        <f t="shared" si="1"/>
        <v>1.7356951000375631E-3</v>
      </c>
      <c r="E36" t="s">
        <v>17</v>
      </c>
      <c r="F36" t="s">
        <v>689</v>
      </c>
      <c r="G36" t="s">
        <v>23</v>
      </c>
      <c r="H36" t="s">
        <v>5</v>
      </c>
      <c r="I36" t="s">
        <v>9</v>
      </c>
      <c r="J36" t="s">
        <v>19</v>
      </c>
    </row>
    <row r="37" spans="1:10" x14ac:dyDescent="0.2">
      <c r="A37" t="s">
        <v>360</v>
      </c>
      <c r="B37">
        <v>0.65300000000000002</v>
      </c>
      <c r="C37">
        <f t="shared" si="0"/>
        <v>0.52048198628928322</v>
      </c>
      <c r="D37">
        <f t="shared" si="1"/>
        <v>1.4196465997078421E-3</v>
      </c>
      <c r="E37" t="s">
        <v>20</v>
      </c>
      <c r="F37" t="s">
        <v>689</v>
      </c>
      <c r="G37" t="s">
        <v>23</v>
      </c>
      <c r="H37" t="s">
        <v>5</v>
      </c>
      <c r="I37" t="s">
        <v>9</v>
      </c>
      <c r="J37" t="s">
        <v>19</v>
      </c>
    </row>
    <row r="38" spans="1:10" x14ac:dyDescent="0.2">
      <c r="A38" t="s">
        <v>99</v>
      </c>
      <c r="B38">
        <v>1.1160000000000001</v>
      </c>
      <c r="C38">
        <f t="shared" si="0"/>
        <v>0.32758752752368953</v>
      </c>
      <c r="D38">
        <f t="shared" si="1"/>
        <v>8.9351511062138098E-4</v>
      </c>
      <c r="E38" t="s">
        <v>24</v>
      </c>
      <c r="F38" t="s">
        <v>689</v>
      </c>
      <c r="G38" t="s">
        <v>11</v>
      </c>
      <c r="H38" t="s">
        <v>5</v>
      </c>
      <c r="I38" t="s">
        <v>9</v>
      </c>
      <c r="J38" t="s">
        <v>19</v>
      </c>
    </row>
    <row r="39" spans="1:10" x14ac:dyDescent="0.2">
      <c r="A39" t="s">
        <v>123</v>
      </c>
      <c r="B39">
        <v>0.85299999999999998</v>
      </c>
      <c r="C39">
        <f t="shared" si="0"/>
        <v>0.42613460859814872</v>
      </c>
      <c r="D39">
        <f t="shared" si="1"/>
        <v>1.1623083296833979E-3</v>
      </c>
      <c r="E39" t="s">
        <v>10</v>
      </c>
      <c r="F39" t="s">
        <v>689</v>
      </c>
      <c r="G39" t="s">
        <v>11</v>
      </c>
      <c r="H39" t="s">
        <v>5</v>
      </c>
      <c r="I39" t="s">
        <v>9</v>
      </c>
      <c r="J39" t="s">
        <v>19</v>
      </c>
    </row>
    <row r="40" spans="1:10" x14ac:dyDescent="0.2">
      <c r="A40" t="s">
        <v>176</v>
      </c>
      <c r="B40">
        <v>0.85299999999999998</v>
      </c>
      <c r="C40">
        <f t="shared" si="0"/>
        <v>0.42613460859814872</v>
      </c>
      <c r="D40">
        <f t="shared" si="1"/>
        <v>1.1623083296833979E-3</v>
      </c>
      <c r="E40" t="s">
        <v>5</v>
      </c>
      <c r="F40" t="s">
        <v>689</v>
      </c>
      <c r="G40" t="s">
        <v>11</v>
      </c>
      <c r="H40" t="s">
        <v>5</v>
      </c>
      <c r="I40" t="s">
        <v>9</v>
      </c>
      <c r="J40" t="s">
        <v>19</v>
      </c>
    </row>
    <row r="41" spans="1:10" x14ac:dyDescent="0.2">
      <c r="A41" t="s">
        <v>254</v>
      </c>
      <c r="B41">
        <v>0.85299999999999998</v>
      </c>
      <c r="C41">
        <f t="shared" si="0"/>
        <v>0.42613460859814872</v>
      </c>
      <c r="D41">
        <f t="shared" si="1"/>
        <v>1.1623083296833979E-3</v>
      </c>
      <c r="E41" t="s">
        <v>14</v>
      </c>
      <c r="F41" t="s">
        <v>689</v>
      </c>
      <c r="G41" t="s">
        <v>11</v>
      </c>
      <c r="H41" t="s">
        <v>5</v>
      </c>
      <c r="I41" t="s">
        <v>9</v>
      </c>
      <c r="J41" t="s">
        <v>19</v>
      </c>
    </row>
    <row r="42" spans="1:10" x14ac:dyDescent="0.2">
      <c r="A42" t="s">
        <v>275</v>
      </c>
      <c r="B42">
        <v>0.85299999999999998</v>
      </c>
      <c r="C42">
        <f t="shared" si="0"/>
        <v>0.42613460859814872</v>
      </c>
      <c r="D42">
        <f t="shared" si="1"/>
        <v>1.1623083296833979E-3</v>
      </c>
      <c r="E42" t="s">
        <v>1</v>
      </c>
      <c r="F42" t="s">
        <v>689</v>
      </c>
      <c r="G42" t="s">
        <v>11</v>
      </c>
      <c r="H42" t="s">
        <v>5</v>
      </c>
      <c r="I42" t="s">
        <v>9</v>
      </c>
      <c r="J42" t="s">
        <v>19</v>
      </c>
    </row>
    <row r="43" spans="1:10" x14ac:dyDescent="0.2">
      <c r="A43" t="s">
        <v>344</v>
      </c>
      <c r="B43">
        <v>0.85299999999999998</v>
      </c>
      <c r="C43">
        <f t="shared" si="0"/>
        <v>0.42613460859814872</v>
      </c>
      <c r="D43">
        <f t="shared" si="1"/>
        <v>1.1623083296833979E-3</v>
      </c>
      <c r="E43" t="s">
        <v>18</v>
      </c>
      <c r="F43" t="s">
        <v>689</v>
      </c>
      <c r="G43" t="s">
        <v>11</v>
      </c>
      <c r="H43" t="s">
        <v>5</v>
      </c>
      <c r="I43" t="s">
        <v>9</v>
      </c>
      <c r="J43" t="s">
        <v>19</v>
      </c>
    </row>
    <row r="44" spans="1:10" x14ac:dyDescent="0.2">
      <c r="A44" t="s">
        <v>55</v>
      </c>
      <c r="B44">
        <v>0.45200000000000001</v>
      </c>
      <c r="C44">
        <f t="shared" si="0"/>
        <v>0.63635416972508707</v>
      </c>
      <c r="D44">
        <f t="shared" si="1"/>
        <v>1.7356951000375631E-3</v>
      </c>
      <c r="E44" t="s">
        <v>0</v>
      </c>
      <c r="F44" t="s">
        <v>689</v>
      </c>
      <c r="G44" t="s">
        <v>17</v>
      </c>
      <c r="H44" t="s">
        <v>5</v>
      </c>
      <c r="I44" t="s">
        <v>9</v>
      </c>
      <c r="J44" t="s">
        <v>19</v>
      </c>
    </row>
    <row r="45" spans="1:10" x14ac:dyDescent="0.2">
      <c r="A45" t="s">
        <v>130</v>
      </c>
      <c r="B45">
        <v>0.45200000000000001</v>
      </c>
      <c r="C45">
        <f t="shared" si="0"/>
        <v>0.63635416972508707</v>
      </c>
      <c r="D45">
        <f t="shared" si="1"/>
        <v>1.7356951000375631E-3</v>
      </c>
      <c r="E45" t="s">
        <v>10</v>
      </c>
      <c r="F45" t="s">
        <v>689</v>
      </c>
      <c r="G45" t="s">
        <v>17</v>
      </c>
      <c r="H45" t="s">
        <v>5</v>
      </c>
      <c r="I45" t="s">
        <v>9</v>
      </c>
      <c r="J45" t="s">
        <v>19</v>
      </c>
    </row>
    <row r="46" spans="1:10" x14ac:dyDescent="0.2">
      <c r="A46" t="s">
        <v>183</v>
      </c>
      <c r="B46">
        <v>0.45200000000000001</v>
      </c>
      <c r="C46">
        <f t="shared" si="0"/>
        <v>0.63635416972508707</v>
      </c>
      <c r="D46">
        <f t="shared" si="1"/>
        <v>1.7356951000375631E-3</v>
      </c>
      <c r="E46" t="s">
        <v>5</v>
      </c>
      <c r="F46" t="s">
        <v>689</v>
      </c>
      <c r="G46" t="s">
        <v>17</v>
      </c>
      <c r="H46" t="s">
        <v>5</v>
      </c>
      <c r="I46" t="s">
        <v>9</v>
      </c>
      <c r="J46" t="s">
        <v>19</v>
      </c>
    </row>
    <row r="47" spans="1:10" x14ac:dyDescent="0.2">
      <c r="A47" t="s">
        <v>202</v>
      </c>
      <c r="B47">
        <v>0.45200000000000001</v>
      </c>
      <c r="C47">
        <f t="shared" si="0"/>
        <v>0.63635416972508707</v>
      </c>
      <c r="D47">
        <f t="shared" si="1"/>
        <v>1.7356951000375631E-3</v>
      </c>
      <c r="E47" t="s">
        <v>22</v>
      </c>
      <c r="F47" t="s">
        <v>689</v>
      </c>
      <c r="G47" t="s">
        <v>17</v>
      </c>
      <c r="H47" t="s">
        <v>5</v>
      </c>
      <c r="I47" t="s">
        <v>9</v>
      </c>
      <c r="J47" t="s">
        <v>19</v>
      </c>
    </row>
    <row r="48" spans="1:10" x14ac:dyDescent="0.2">
      <c r="A48" t="s">
        <v>217</v>
      </c>
      <c r="B48">
        <v>0.45200000000000001</v>
      </c>
      <c r="C48">
        <f t="shared" si="0"/>
        <v>0.63635416972508707</v>
      </c>
      <c r="D48">
        <f t="shared" si="1"/>
        <v>1.7356951000375631E-3</v>
      </c>
      <c r="E48" t="s">
        <v>13</v>
      </c>
      <c r="F48" t="s">
        <v>689</v>
      </c>
      <c r="G48" t="s">
        <v>17</v>
      </c>
      <c r="H48" t="s">
        <v>5</v>
      </c>
      <c r="I48" t="s">
        <v>9</v>
      </c>
      <c r="J48" t="s">
        <v>19</v>
      </c>
    </row>
    <row r="49" spans="1:10" x14ac:dyDescent="0.2">
      <c r="A49" t="s">
        <v>234</v>
      </c>
      <c r="B49">
        <v>0.45200000000000001</v>
      </c>
      <c r="C49">
        <f t="shared" si="0"/>
        <v>0.63635416972508707</v>
      </c>
      <c r="D49">
        <f t="shared" si="1"/>
        <v>1.7356951000375631E-3</v>
      </c>
      <c r="E49" t="s">
        <v>2</v>
      </c>
      <c r="F49" t="s">
        <v>689</v>
      </c>
      <c r="G49" t="s">
        <v>17</v>
      </c>
      <c r="H49" t="s">
        <v>5</v>
      </c>
      <c r="I49" t="s">
        <v>9</v>
      </c>
      <c r="J49" t="s">
        <v>19</v>
      </c>
    </row>
    <row r="50" spans="1:10" x14ac:dyDescent="0.2">
      <c r="A50" t="s">
        <v>259</v>
      </c>
      <c r="B50">
        <v>0.45200000000000001</v>
      </c>
      <c r="C50">
        <f t="shared" si="0"/>
        <v>0.63635416972508707</v>
      </c>
      <c r="D50">
        <f t="shared" si="1"/>
        <v>1.7356951000375631E-3</v>
      </c>
      <c r="E50" t="s">
        <v>14</v>
      </c>
      <c r="F50" t="s">
        <v>689</v>
      </c>
      <c r="G50" t="s">
        <v>17</v>
      </c>
      <c r="H50" t="s">
        <v>5</v>
      </c>
      <c r="I50" t="s">
        <v>9</v>
      </c>
      <c r="J50" t="s">
        <v>19</v>
      </c>
    </row>
    <row r="51" spans="1:10" x14ac:dyDescent="0.2">
      <c r="A51" t="s">
        <v>294</v>
      </c>
      <c r="B51">
        <v>0.82899999999999996</v>
      </c>
      <c r="C51">
        <f t="shared" si="0"/>
        <v>0.43648555370519337</v>
      </c>
      <c r="D51">
        <f t="shared" si="1"/>
        <v>1.1905411684983251E-3</v>
      </c>
      <c r="E51" t="s">
        <v>15</v>
      </c>
      <c r="F51" t="s">
        <v>689</v>
      </c>
      <c r="G51" t="s">
        <v>17</v>
      </c>
      <c r="H51" t="s">
        <v>5</v>
      </c>
      <c r="I51" t="s">
        <v>9</v>
      </c>
      <c r="J51" t="s">
        <v>19</v>
      </c>
    </row>
    <row r="52" spans="1:10" x14ac:dyDescent="0.2">
      <c r="A52" t="s">
        <v>328</v>
      </c>
      <c r="B52">
        <v>0.90300000000000002</v>
      </c>
      <c r="C52">
        <f t="shared" si="0"/>
        <v>0.40535177849665399</v>
      </c>
      <c r="D52">
        <f t="shared" si="1"/>
        <v>1.1056218835371247E-3</v>
      </c>
      <c r="E52" t="s">
        <v>17</v>
      </c>
      <c r="F52" t="s">
        <v>689</v>
      </c>
      <c r="G52" t="s">
        <v>17</v>
      </c>
      <c r="H52" t="s">
        <v>5</v>
      </c>
      <c r="I52" t="s">
        <v>9</v>
      </c>
      <c r="J52" t="s">
        <v>19</v>
      </c>
    </row>
    <row r="53" spans="1:10" x14ac:dyDescent="0.2">
      <c r="A53" t="s">
        <v>350</v>
      </c>
      <c r="B53">
        <v>0.45200000000000001</v>
      </c>
      <c r="C53">
        <f t="shared" si="0"/>
        <v>0.63635416972508707</v>
      </c>
      <c r="D53">
        <f t="shared" si="1"/>
        <v>1.7356951000375631E-3</v>
      </c>
      <c r="E53" t="s">
        <v>18</v>
      </c>
      <c r="F53" t="s">
        <v>689</v>
      </c>
      <c r="G53" t="s">
        <v>17</v>
      </c>
      <c r="H53" t="s">
        <v>5</v>
      </c>
      <c r="I53" t="s">
        <v>9</v>
      </c>
      <c r="J53" t="s">
        <v>19</v>
      </c>
    </row>
    <row r="54" spans="1:10" x14ac:dyDescent="0.2">
      <c r="A54" t="s">
        <v>56</v>
      </c>
      <c r="B54">
        <v>0</v>
      </c>
      <c r="C54">
        <f t="shared" si="0"/>
        <v>1</v>
      </c>
      <c r="D54">
        <f t="shared" si="1"/>
        <v>2.7275614470907055E-3</v>
      </c>
      <c r="E54" t="s">
        <v>0</v>
      </c>
      <c r="F54" t="s">
        <v>689</v>
      </c>
      <c r="G54" t="s">
        <v>20</v>
      </c>
      <c r="H54" t="s">
        <v>5</v>
      </c>
      <c r="I54" t="s">
        <v>9</v>
      </c>
      <c r="J54" t="s">
        <v>19</v>
      </c>
    </row>
    <row r="55" spans="1:10" x14ac:dyDescent="0.2">
      <c r="A55" t="s">
        <v>66</v>
      </c>
      <c r="B55">
        <v>0.377</v>
      </c>
      <c r="C55">
        <f t="shared" si="0"/>
        <v>0.68591607389602016</v>
      </c>
      <c r="D55">
        <f t="shared" si="1"/>
        <v>1.8708782390986041E-3</v>
      </c>
      <c r="E55" t="s">
        <v>8</v>
      </c>
      <c r="F55" t="s">
        <v>689</v>
      </c>
      <c r="G55" t="s">
        <v>20</v>
      </c>
      <c r="H55" t="s">
        <v>5</v>
      </c>
      <c r="I55" t="s">
        <v>9</v>
      </c>
      <c r="J55" t="s">
        <v>19</v>
      </c>
    </row>
    <row r="56" spans="1:10" x14ac:dyDescent="0.2">
      <c r="A56" t="s">
        <v>85</v>
      </c>
      <c r="B56">
        <v>0</v>
      </c>
      <c r="C56">
        <f t="shared" si="0"/>
        <v>1</v>
      </c>
      <c r="D56">
        <f t="shared" si="1"/>
        <v>2.7275614470907055E-3</v>
      </c>
      <c r="E56" t="s">
        <v>9</v>
      </c>
      <c r="F56" t="s">
        <v>689</v>
      </c>
      <c r="G56" t="s">
        <v>20</v>
      </c>
      <c r="H56" t="s">
        <v>5</v>
      </c>
      <c r="I56" t="s">
        <v>9</v>
      </c>
      <c r="J56" t="s">
        <v>19</v>
      </c>
    </row>
    <row r="57" spans="1:10" x14ac:dyDescent="0.2">
      <c r="A57" t="s">
        <v>87</v>
      </c>
      <c r="B57">
        <v>1.6439999999999999</v>
      </c>
      <c r="C57">
        <f t="shared" si="0"/>
        <v>0.1932056718950137</v>
      </c>
      <c r="D57">
        <f t="shared" si="1"/>
        <v>5.2698034202009565E-4</v>
      </c>
      <c r="E57" t="s">
        <v>26</v>
      </c>
      <c r="F57" t="s">
        <v>689</v>
      </c>
      <c r="G57" t="s">
        <v>20</v>
      </c>
      <c r="H57" t="s">
        <v>5</v>
      </c>
      <c r="I57" t="s">
        <v>9</v>
      </c>
      <c r="J57" t="s">
        <v>19</v>
      </c>
    </row>
    <row r="58" spans="1:10" x14ac:dyDescent="0.2">
      <c r="A58" t="s">
        <v>103</v>
      </c>
      <c r="B58">
        <v>0.26300000000000001</v>
      </c>
      <c r="C58">
        <f t="shared" si="0"/>
        <v>0.76874189731116027</v>
      </c>
      <c r="D58">
        <f t="shared" si="1"/>
        <v>2.0967907618692828E-3</v>
      </c>
      <c r="E58" t="s">
        <v>24</v>
      </c>
      <c r="F58" t="s">
        <v>689</v>
      </c>
      <c r="G58" t="s">
        <v>20</v>
      </c>
      <c r="H58" t="s">
        <v>5</v>
      </c>
      <c r="I58" t="s">
        <v>9</v>
      </c>
      <c r="J58" t="s">
        <v>19</v>
      </c>
    </row>
    <row r="59" spans="1:10" x14ac:dyDescent="0.2">
      <c r="A59" t="s">
        <v>112</v>
      </c>
      <c r="B59">
        <v>0.69099999999999995</v>
      </c>
      <c r="C59">
        <f t="shared" si="0"/>
        <v>0.50107474370144889</v>
      </c>
      <c r="D59">
        <f t="shared" si="1"/>
        <v>1.3667121530309284E-3</v>
      </c>
      <c r="E59" t="s">
        <v>23</v>
      </c>
      <c r="F59" t="s">
        <v>689</v>
      </c>
      <c r="G59" t="s">
        <v>20</v>
      </c>
      <c r="H59" t="s">
        <v>5</v>
      </c>
      <c r="I59" t="s">
        <v>9</v>
      </c>
      <c r="J59" t="s">
        <v>19</v>
      </c>
    </row>
    <row r="60" spans="1:10" x14ac:dyDescent="0.2">
      <c r="A60" t="s">
        <v>131</v>
      </c>
      <c r="B60">
        <v>0</v>
      </c>
      <c r="C60">
        <f t="shared" si="0"/>
        <v>1</v>
      </c>
      <c r="D60">
        <f t="shared" si="1"/>
        <v>2.7275614470907055E-3</v>
      </c>
      <c r="E60" t="s">
        <v>10</v>
      </c>
      <c r="F60" t="s">
        <v>689</v>
      </c>
      <c r="G60" t="s">
        <v>20</v>
      </c>
      <c r="H60" t="s">
        <v>5</v>
      </c>
      <c r="I60" t="s">
        <v>9</v>
      </c>
      <c r="J60" t="s">
        <v>19</v>
      </c>
    </row>
    <row r="61" spans="1:10" x14ac:dyDescent="0.2">
      <c r="A61" t="s">
        <v>141</v>
      </c>
      <c r="B61">
        <v>0.85299999999999998</v>
      </c>
      <c r="C61">
        <f t="shared" si="0"/>
        <v>0.42613460859814872</v>
      </c>
      <c r="D61">
        <f t="shared" si="1"/>
        <v>1.1623083296833979E-3</v>
      </c>
      <c r="E61" t="s">
        <v>11</v>
      </c>
      <c r="F61" t="s">
        <v>689</v>
      </c>
      <c r="G61" t="s">
        <v>20</v>
      </c>
      <c r="H61" t="s">
        <v>5</v>
      </c>
      <c r="I61" t="s">
        <v>9</v>
      </c>
      <c r="J61" t="s">
        <v>19</v>
      </c>
    </row>
    <row r="62" spans="1:10" x14ac:dyDescent="0.2">
      <c r="A62" t="s">
        <v>159</v>
      </c>
      <c r="B62">
        <v>0</v>
      </c>
      <c r="C62">
        <f t="shared" si="0"/>
        <v>1</v>
      </c>
      <c r="D62">
        <f t="shared" si="1"/>
        <v>2.7275614470907055E-3</v>
      </c>
      <c r="E62" t="s">
        <v>12</v>
      </c>
      <c r="F62" t="s">
        <v>689</v>
      </c>
      <c r="G62" t="s">
        <v>20</v>
      </c>
      <c r="H62" t="s">
        <v>5</v>
      </c>
      <c r="I62" t="s">
        <v>9</v>
      </c>
      <c r="J62" t="s">
        <v>19</v>
      </c>
    </row>
    <row r="63" spans="1:10" x14ac:dyDescent="0.2">
      <c r="A63" t="s">
        <v>184</v>
      </c>
      <c r="B63">
        <v>0</v>
      </c>
      <c r="C63">
        <f t="shared" si="0"/>
        <v>1</v>
      </c>
      <c r="D63">
        <f t="shared" si="1"/>
        <v>2.7275614470907055E-3</v>
      </c>
      <c r="E63" t="s">
        <v>5</v>
      </c>
      <c r="F63" t="s">
        <v>689</v>
      </c>
      <c r="G63" t="s">
        <v>20</v>
      </c>
      <c r="H63" t="s">
        <v>5</v>
      </c>
      <c r="I63" t="s">
        <v>9</v>
      </c>
      <c r="J63" t="s">
        <v>19</v>
      </c>
    </row>
    <row r="64" spans="1:10" x14ac:dyDescent="0.2">
      <c r="A64" t="s">
        <v>203</v>
      </c>
      <c r="B64">
        <v>0</v>
      </c>
      <c r="C64">
        <f t="shared" si="0"/>
        <v>1</v>
      </c>
      <c r="D64">
        <f t="shared" si="1"/>
        <v>2.7275614470907055E-3</v>
      </c>
      <c r="E64" t="s">
        <v>22</v>
      </c>
      <c r="F64" t="s">
        <v>689</v>
      </c>
      <c r="G64" t="s">
        <v>20</v>
      </c>
      <c r="H64" t="s">
        <v>5</v>
      </c>
      <c r="I64" t="s">
        <v>9</v>
      </c>
      <c r="J64" t="s">
        <v>19</v>
      </c>
    </row>
    <row r="65" spans="1:10" x14ac:dyDescent="0.2">
      <c r="A65" t="s">
        <v>218</v>
      </c>
      <c r="B65">
        <v>0</v>
      </c>
      <c r="C65">
        <f t="shared" si="0"/>
        <v>1</v>
      </c>
      <c r="D65">
        <f t="shared" si="1"/>
        <v>2.7275614470907055E-3</v>
      </c>
      <c r="E65" t="s">
        <v>13</v>
      </c>
      <c r="F65" t="s">
        <v>689</v>
      </c>
      <c r="G65" t="s">
        <v>20</v>
      </c>
      <c r="H65" t="s">
        <v>5</v>
      </c>
      <c r="I65" t="s">
        <v>9</v>
      </c>
      <c r="J65" t="s">
        <v>19</v>
      </c>
    </row>
    <row r="66" spans="1:10" x14ac:dyDescent="0.2">
      <c r="A66" t="s">
        <v>235</v>
      </c>
      <c r="B66">
        <v>0</v>
      </c>
      <c r="C66">
        <f t="shared" si="0"/>
        <v>1</v>
      </c>
      <c r="D66">
        <f t="shared" si="1"/>
        <v>2.7275614470907055E-3</v>
      </c>
      <c r="E66" t="s">
        <v>2</v>
      </c>
      <c r="F66" t="s">
        <v>689</v>
      </c>
      <c r="G66" t="s">
        <v>20</v>
      </c>
      <c r="H66" t="s">
        <v>5</v>
      </c>
      <c r="I66" t="s">
        <v>9</v>
      </c>
      <c r="J66" t="s">
        <v>19</v>
      </c>
    </row>
    <row r="67" spans="1:10" x14ac:dyDescent="0.2">
      <c r="A67" t="s">
        <v>260</v>
      </c>
      <c r="B67">
        <v>0</v>
      </c>
      <c r="C67">
        <f t="shared" ref="C67:C130" si="2">EXP(-B67)</f>
        <v>1</v>
      </c>
      <c r="D67">
        <f t="shared" ref="D67:D130" si="3">C67/366.627854</f>
        <v>2.7275614470907055E-3</v>
      </c>
      <c r="E67" t="s">
        <v>14</v>
      </c>
      <c r="F67" t="s">
        <v>689</v>
      </c>
      <c r="G67" t="s">
        <v>20</v>
      </c>
      <c r="H67" t="s">
        <v>5</v>
      </c>
      <c r="I67" t="s">
        <v>9</v>
      </c>
      <c r="J67" t="s">
        <v>19</v>
      </c>
    </row>
    <row r="68" spans="1:10" x14ac:dyDescent="0.2">
      <c r="A68" t="s">
        <v>281</v>
      </c>
      <c r="B68">
        <v>0</v>
      </c>
      <c r="C68">
        <f t="shared" si="2"/>
        <v>1</v>
      </c>
      <c r="D68">
        <f t="shared" si="3"/>
        <v>2.7275614470907055E-3</v>
      </c>
      <c r="E68" t="s">
        <v>1</v>
      </c>
      <c r="F68" t="s">
        <v>689</v>
      </c>
      <c r="G68" t="s">
        <v>20</v>
      </c>
      <c r="H68" t="s">
        <v>5</v>
      </c>
      <c r="I68" t="s">
        <v>9</v>
      </c>
      <c r="J68" t="s">
        <v>19</v>
      </c>
    </row>
    <row r="69" spans="1:10" x14ac:dyDescent="0.2">
      <c r="A69" t="s">
        <v>312</v>
      </c>
      <c r="B69">
        <v>0</v>
      </c>
      <c r="C69">
        <f t="shared" si="2"/>
        <v>1</v>
      </c>
      <c r="D69">
        <f t="shared" si="3"/>
        <v>2.7275614470907055E-3</v>
      </c>
      <c r="E69" t="s">
        <v>16</v>
      </c>
      <c r="F69" t="s">
        <v>689</v>
      </c>
      <c r="G69" t="s">
        <v>20</v>
      </c>
      <c r="H69" t="s">
        <v>5</v>
      </c>
      <c r="I69" t="s">
        <v>9</v>
      </c>
      <c r="J69" t="s">
        <v>19</v>
      </c>
    </row>
    <row r="70" spans="1:10" x14ac:dyDescent="0.2">
      <c r="A70" t="s">
        <v>316</v>
      </c>
      <c r="B70">
        <v>1.28</v>
      </c>
      <c r="C70">
        <f t="shared" si="2"/>
        <v>0.27803730045319414</v>
      </c>
      <c r="D70">
        <f t="shared" si="3"/>
        <v>7.5836382156930756E-4</v>
      </c>
      <c r="E70" t="s">
        <v>25</v>
      </c>
      <c r="F70" t="s">
        <v>689</v>
      </c>
      <c r="G70" t="s">
        <v>20</v>
      </c>
      <c r="H70" t="s">
        <v>5</v>
      </c>
      <c r="I70" t="s">
        <v>9</v>
      </c>
      <c r="J70" t="s">
        <v>19</v>
      </c>
    </row>
    <row r="71" spans="1:10" x14ac:dyDescent="0.2">
      <c r="A71" t="s">
        <v>329</v>
      </c>
      <c r="B71">
        <v>0.45200000000000001</v>
      </c>
      <c r="C71">
        <f t="shared" si="2"/>
        <v>0.63635416972508707</v>
      </c>
      <c r="D71">
        <f t="shared" si="3"/>
        <v>1.7356951000375631E-3</v>
      </c>
      <c r="E71" t="s">
        <v>17</v>
      </c>
      <c r="F71" t="s">
        <v>689</v>
      </c>
      <c r="G71" t="s">
        <v>20</v>
      </c>
      <c r="H71" t="s">
        <v>5</v>
      </c>
      <c r="I71" t="s">
        <v>9</v>
      </c>
      <c r="J71" t="s">
        <v>19</v>
      </c>
    </row>
    <row r="72" spans="1:10" x14ac:dyDescent="0.2">
      <c r="A72" t="s">
        <v>351</v>
      </c>
      <c r="B72">
        <v>0</v>
      </c>
      <c r="C72">
        <f t="shared" si="2"/>
        <v>1</v>
      </c>
      <c r="D72">
        <f t="shared" si="3"/>
        <v>2.7275614470907055E-3</v>
      </c>
      <c r="E72" t="s">
        <v>18</v>
      </c>
      <c r="F72" t="s">
        <v>689</v>
      </c>
      <c r="G72" t="s">
        <v>20</v>
      </c>
      <c r="H72" t="s">
        <v>5</v>
      </c>
      <c r="I72" t="s">
        <v>9</v>
      </c>
      <c r="J72" t="s">
        <v>19</v>
      </c>
    </row>
    <row r="73" spans="1:10" x14ac:dyDescent="0.2">
      <c r="A73" t="s">
        <v>362</v>
      </c>
      <c r="B73">
        <v>0.65300000000000002</v>
      </c>
      <c r="C73">
        <f t="shared" si="2"/>
        <v>0.52048198628928322</v>
      </c>
      <c r="D73">
        <f t="shared" si="3"/>
        <v>1.4196465997078421E-3</v>
      </c>
      <c r="E73" t="s">
        <v>20</v>
      </c>
      <c r="F73" t="s">
        <v>689</v>
      </c>
      <c r="G73" t="s">
        <v>20</v>
      </c>
      <c r="H73" t="s">
        <v>5</v>
      </c>
      <c r="I73" t="s">
        <v>9</v>
      </c>
      <c r="J73" t="s">
        <v>19</v>
      </c>
    </row>
    <row r="74" spans="1:10" x14ac:dyDescent="0.2">
      <c r="A74" t="s">
        <v>733</v>
      </c>
      <c r="B74">
        <v>0.33700000000000002</v>
      </c>
      <c r="C74">
        <f t="shared" si="2"/>
        <v>0.71390883990272003</v>
      </c>
      <c r="D74">
        <f t="shared" si="3"/>
        <v>1.9472302284559099E-3</v>
      </c>
      <c r="E74" t="s">
        <v>0</v>
      </c>
      <c r="F74" t="s">
        <v>689</v>
      </c>
      <c r="G74" t="s">
        <v>0</v>
      </c>
      <c r="H74" t="s">
        <v>5</v>
      </c>
      <c r="I74" t="s">
        <v>9</v>
      </c>
      <c r="J74" t="s">
        <v>13</v>
      </c>
    </row>
    <row r="75" spans="1:10" x14ac:dyDescent="0.2">
      <c r="A75" t="s">
        <v>753</v>
      </c>
      <c r="B75">
        <v>0.71499999999999997</v>
      </c>
      <c r="C75">
        <f t="shared" si="2"/>
        <v>0.48919211179633154</v>
      </c>
      <c r="D75">
        <f t="shared" si="3"/>
        <v>1.3343015443565602E-3</v>
      </c>
      <c r="E75" t="s">
        <v>8</v>
      </c>
      <c r="F75" t="s">
        <v>689</v>
      </c>
      <c r="G75" t="s">
        <v>0</v>
      </c>
      <c r="H75" t="s">
        <v>5</v>
      </c>
      <c r="I75" t="s">
        <v>9</v>
      </c>
      <c r="J75" t="s">
        <v>13</v>
      </c>
    </row>
    <row r="76" spans="1:10" x14ac:dyDescent="0.2">
      <c r="A76" t="s">
        <v>791</v>
      </c>
      <c r="B76">
        <v>1.982</v>
      </c>
      <c r="C76">
        <f t="shared" si="2"/>
        <v>0.13779337479074535</v>
      </c>
      <c r="D76">
        <f t="shared" si="3"/>
        <v>3.7583989674375737E-4</v>
      </c>
      <c r="E76" t="s">
        <v>26</v>
      </c>
      <c r="F76" t="s">
        <v>689</v>
      </c>
      <c r="G76" t="s">
        <v>0</v>
      </c>
      <c r="H76" t="s">
        <v>5</v>
      </c>
      <c r="I76" t="s">
        <v>9</v>
      </c>
      <c r="J76" t="s">
        <v>13</v>
      </c>
    </row>
    <row r="77" spans="1:10" x14ac:dyDescent="0.2">
      <c r="A77" t="s">
        <v>814</v>
      </c>
      <c r="B77">
        <v>0.60099999999999998</v>
      </c>
      <c r="C77">
        <f t="shared" si="2"/>
        <v>0.54826309877230472</v>
      </c>
      <c r="D77">
        <f t="shared" si="3"/>
        <v>1.495421291073822E-3</v>
      </c>
      <c r="E77" t="s">
        <v>24</v>
      </c>
      <c r="F77" t="s">
        <v>689</v>
      </c>
      <c r="G77" t="s">
        <v>0</v>
      </c>
      <c r="H77" t="s">
        <v>5</v>
      </c>
      <c r="I77" t="s">
        <v>9</v>
      </c>
      <c r="J77" t="s">
        <v>13</v>
      </c>
    </row>
    <row r="78" spans="1:10" x14ac:dyDescent="0.2">
      <c r="A78" t="s">
        <v>834</v>
      </c>
      <c r="B78">
        <v>1.0289999999999999</v>
      </c>
      <c r="C78">
        <f t="shared" si="2"/>
        <v>0.35736414609271289</v>
      </c>
      <c r="D78">
        <f t="shared" si="3"/>
        <v>9.7473266745497428E-4</v>
      </c>
      <c r="E78" t="s">
        <v>23</v>
      </c>
      <c r="F78" t="s">
        <v>689</v>
      </c>
      <c r="G78" t="s">
        <v>0</v>
      </c>
      <c r="H78" t="s">
        <v>5</v>
      </c>
      <c r="I78" t="s">
        <v>9</v>
      </c>
      <c r="J78" t="s">
        <v>13</v>
      </c>
    </row>
    <row r="79" spans="1:10" x14ac:dyDescent="0.2">
      <c r="A79" t="s">
        <v>868</v>
      </c>
      <c r="B79">
        <v>1.19</v>
      </c>
      <c r="C79">
        <f t="shared" si="2"/>
        <v>0.30422126406670408</v>
      </c>
      <c r="D79">
        <f t="shared" si="3"/>
        <v>8.297821912535431E-4</v>
      </c>
      <c r="E79" t="s">
        <v>11</v>
      </c>
      <c r="F79" t="s">
        <v>689</v>
      </c>
      <c r="G79" t="s">
        <v>0</v>
      </c>
      <c r="H79" t="s">
        <v>5</v>
      </c>
      <c r="I79" t="s">
        <v>9</v>
      </c>
      <c r="J79" t="s">
        <v>13</v>
      </c>
    </row>
    <row r="80" spans="1:10" x14ac:dyDescent="0.2">
      <c r="A80" t="s">
        <v>887</v>
      </c>
      <c r="B80">
        <v>0.33700000000000002</v>
      </c>
      <c r="C80">
        <f t="shared" si="2"/>
        <v>0.71390883990272003</v>
      </c>
      <c r="D80">
        <f t="shared" si="3"/>
        <v>1.9472302284559099E-3</v>
      </c>
      <c r="E80" t="s">
        <v>12</v>
      </c>
      <c r="F80" t="s">
        <v>689</v>
      </c>
      <c r="G80" t="s">
        <v>0</v>
      </c>
      <c r="H80" t="s">
        <v>5</v>
      </c>
      <c r="I80" t="s">
        <v>9</v>
      </c>
      <c r="J80" t="s">
        <v>13</v>
      </c>
    </row>
    <row r="81" spans="1:10" x14ac:dyDescent="0.2">
      <c r="A81" t="s">
        <v>906</v>
      </c>
      <c r="B81">
        <v>0.33700000000000002</v>
      </c>
      <c r="C81">
        <f t="shared" si="2"/>
        <v>0.71390883990272003</v>
      </c>
      <c r="D81">
        <f t="shared" si="3"/>
        <v>1.9472302284559099E-3</v>
      </c>
      <c r="E81" t="s">
        <v>22</v>
      </c>
      <c r="F81" t="s">
        <v>689</v>
      </c>
      <c r="G81" t="s">
        <v>0</v>
      </c>
      <c r="H81" t="s">
        <v>5</v>
      </c>
      <c r="I81" t="s">
        <v>9</v>
      </c>
      <c r="J81" t="s">
        <v>13</v>
      </c>
    </row>
    <row r="82" spans="1:10" x14ac:dyDescent="0.2">
      <c r="A82" t="s">
        <v>940</v>
      </c>
      <c r="B82">
        <v>0.33700000000000002</v>
      </c>
      <c r="C82">
        <f t="shared" si="2"/>
        <v>0.71390883990272003</v>
      </c>
      <c r="D82">
        <f t="shared" si="3"/>
        <v>1.9472302284559099E-3</v>
      </c>
      <c r="E82" t="s">
        <v>2</v>
      </c>
      <c r="F82" t="s">
        <v>689</v>
      </c>
      <c r="G82" t="s">
        <v>0</v>
      </c>
      <c r="H82" t="s">
        <v>5</v>
      </c>
      <c r="I82" t="s">
        <v>9</v>
      </c>
      <c r="J82" t="s">
        <v>13</v>
      </c>
    </row>
    <row r="83" spans="1:10" x14ac:dyDescent="0.2">
      <c r="A83" t="s">
        <v>976</v>
      </c>
      <c r="B83">
        <v>0.71499999999999997</v>
      </c>
      <c r="C83">
        <f t="shared" si="2"/>
        <v>0.48919211179633154</v>
      </c>
      <c r="D83">
        <f t="shared" si="3"/>
        <v>1.3343015443565602E-3</v>
      </c>
      <c r="E83" t="s">
        <v>15</v>
      </c>
      <c r="F83" t="s">
        <v>689</v>
      </c>
      <c r="G83" t="s">
        <v>0</v>
      </c>
      <c r="H83" t="s">
        <v>5</v>
      </c>
      <c r="I83" t="s">
        <v>9</v>
      </c>
      <c r="J83" t="s">
        <v>13</v>
      </c>
    </row>
    <row r="84" spans="1:10" x14ac:dyDescent="0.2">
      <c r="A84" t="s">
        <v>991</v>
      </c>
      <c r="B84">
        <v>0.33700000000000002</v>
      </c>
      <c r="C84">
        <f t="shared" si="2"/>
        <v>0.71390883990272003</v>
      </c>
      <c r="D84">
        <f t="shared" si="3"/>
        <v>1.9472302284559099E-3</v>
      </c>
      <c r="E84" t="s">
        <v>16</v>
      </c>
      <c r="F84" t="s">
        <v>689</v>
      </c>
      <c r="G84" t="s">
        <v>0</v>
      </c>
      <c r="H84" t="s">
        <v>5</v>
      </c>
      <c r="I84" t="s">
        <v>9</v>
      </c>
      <c r="J84" t="s">
        <v>13</v>
      </c>
    </row>
    <row r="85" spans="1:10" x14ac:dyDescent="0.2">
      <c r="A85" t="s">
        <v>1012</v>
      </c>
      <c r="B85">
        <v>1.6180000000000001</v>
      </c>
      <c r="C85">
        <f t="shared" si="2"/>
        <v>0.19829489254317698</v>
      </c>
      <c r="D85">
        <f t="shared" si="3"/>
        <v>5.4086150405576383E-4</v>
      </c>
      <c r="E85" t="s">
        <v>25</v>
      </c>
      <c r="F85" t="s">
        <v>689</v>
      </c>
      <c r="G85" t="s">
        <v>0</v>
      </c>
      <c r="H85" t="s">
        <v>5</v>
      </c>
      <c r="I85" t="s">
        <v>9</v>
      </c>
      <c r="J85" t="s">
        <v>13</v>
      </c>
    </row>
    <row r="86" spans="1:10" x14ac:dyDescent="0.2">
      <c r="A86" t="s">
        <v>1035</v>
      </c>
      <c r="B86">
        <v>0.78900000000000003</v>
      </c>
      <c r="C86">
        <f t="shared" si="2"/>
        <v>0.4542988670756955</v>
      </c>
      <c r="D86">
        <f t="shared" si="3"/>
        <v>1.2391280752926523E-3</v>
      </c>
      <c r="E86" t="s">
        <v>17</v>
      </c>
      <c r="F86" t="s">
        <v>689</v>
      </c>
      <c r="G86" t="s">
        <v>0</v>
      </c>
      <c r="H86" t="s">
        <v>5</v>
      </c>
      <c r="I86" t="s">
        <v>9</v>
      </c>
      <c r="J86" t="s">
        <v>13</v>
      </c>
    </row>
    <row r="87" spans="1:10" x14ac:dyDescent="0.2">
      <c r="A87" t="s">
        <v>1069</v>
      </c>
      <c r="B87">
        <v>3.327</v>
      </c>
      <c r="C87">
        <f t="shared" si="2"/>
        <v>3.5900645613020921E-2</v>
      </c>
      <c r="D87">
        <f t="shared" si="3"/>
        <v>9.7921216899741941E-5</v>
      </c>
      <c r="E87" t="s">
        <v>19</v>
      </c>
      <c r="F87" t="s">
        <v>689</v>
      </c>
      <c r="G87" t="s">
        <v>0</v>
      </c>
      <c r="H87" t="s">
        <v>5</v>
      </c>
      <c r="I87" t="s">
        <v>9</v>
      </c>
      <c r="J87" t="s">
        <v>13</v>
      </c>
    </row>
    <row r="88" spans="1:10" x14ac:dyDescent="0.2">
      <c r="A88" t="s">
        <v>754</v>
      </c>
      <c r="B88">
        <v>0.377</v>
      </c>
      <c r="C88">
        <f t="shared" si="2"/>
        <v>0.68591607389602016</v>
      </c>
      <c r="D88">
        <f t="shared" si="3"/>
        <v>1.8708782390986041E-3</v>
      </c>
      <c r="E88" t="s">
        <v>8</v>
      </c>
      <c r="F88" t="s">
        <v>689</v>
      </c>
      <c r="G88" t="s">
        <v>9</v>
      </c>
      <c r="H88" t="s">
        <v>5</v>
      </c>
      <c r="I88" t="s">
        <v>9</v>
      </c>
      <c r="J88" t="s">
        <v>13</v>
      </c>
    </row>
    <row r="89" spans="1:10" x14ac:dyDescent="0.2">
      <c r="A89" t="s">
        <v>793</v>
      </c>
      <c r="B89">
        <v>1.6439999999999999</v>
      </c>
      <c r="C89">
        <f t="shared" si="2"/>
        <v>0.1932056718950137</v>
      </c>
      <c r="D89">
        <f t="shared" si="3"/>
        <v>5.2698034202009565E-4</v>
      </c>
      <c r="E89" t="s">
        <v>26</v>
      </c>
      <c r="F89" t="s">
        <v>689</v>
      </c>
      <c r="G89" t="s">
        <v>9</v>
      </c>
      <c r="H89" t="s">
        <v>5</v>
      </c>
      <c r="I89" t="s">
        <v>9</v>
      </c>
      <c r="J89" t="s">
        <v>13</v>
      </c>
    </row>
    <row r="90" spans="1:10" x14ac:dyDescent="0.2">
      <c r="A90" t="s">
        <v>870</v>
      </c>
      <c r="B90">
        <v>0.85299999999999998</v>
      </c>
      <c r="C90">
        <f t="shared" si="2"/>
        <v>0.42613460859814872</v>
      </c>
      <c r="D90">
        <f t="shared" si="3"/>
        <v>1.1623083296833979E-3</v>
      </c>
      <c r="E90" t="s">
        <v>11</v>
      </c>
      <c r="F90" t="s">
        <v>689</v>
      </c>
      <c r="G90" t="s">
        <v>9</v>
      </c>
      <c r="H90" t="s">
        <v>5</v>
      </c>
      <c r="I90" t="s">
        <v>9</v>
      </c>
      <c r="J90" t="s">
        <v>13</v>
      </c>
    </row>
    <row r="91" spans="1:10" x14ac:dyDescent="0.2">
      <c r="A91" t="s">
        <v>978</v>
      </c>
      <c r="B91">
        <v>0.377</v>
      </c>
      <c r="C91">
        <f t="shared" si="2"/>
        <v>0.68591607389602016</v>
      </c>
      <c r="D91">
        <f t="shared" si="3"/>
        <v>1.8708782390986041E-3</v>
      </c>
      <c r="E91" t="s">
        <v>15</v>
      </c>
      <c r="F91" t="s">
        <v>689</v>
      </c>
      <c r="G91" t="s">
        <v>9</v>
      </c>
      <c r="H91" t="s">
        <v>5</v>
      </c>
      <c r="I91" t="s">
        <v>9</v>
      </c>
      <c r="J91" t="s">
        <v>13</v>
      </c>
    </row>
    <row r="92" spans="1:10" x14ac:dyDescent="0.2">
      <c r="A92" t="s">
        <v>1036</v>
      </c>
      <c r="B92">
        <v>0.45200000000000001</v>
      </c>
      <c r="C92">
        <f t="shared" si="2"/>
        <v>0.63635416972508707</v>
      </c>
      <c r="D92">
        <f t="shared" si="3"/>
        <v>1.7356951000375631E-3</v>
      </c>
      <c r="E92" t="s">
        <v>17</v>
      </c>
      <c r="F92" t="s">
        <v>689</v>
      </c>
      <c r="G92" t="s">
        <v>9</v>
      </c>
      <c r="H92" t="s">
        <v>5</v>
      </c>
      <c r="I92" t="s">
        <v>9</v>
      </c>
      <c r="J92" t="s">
        <v>13</v>
      </c>
    </row>
    <row r="93" spans="1:10" x14ac:dyDescent="0.2">
      <c r="A93" t="s">
        <v>1071</v>
      </c>
      <c r="B93">
        <v>2.99</v>
      </c>
      <c r="C93">
        <f t="shared" si="2"/>
        <v>5.0287436723591865E-2</v>
      </c>
      <c r="D93">
        <f t="shared" si="3"/>
        <v>1.3716207368028252E-4</v>
      </c>
      <c r="E93" t="s">
        <v>19</v>
      </c>
      <c r="F93" t="s">
        <v>689</v>
      </c>
      <c r="G93" t="s">
        <v>9</v>
      </c>
      <c r="H93" t="s">
        <v>5</v>
      </c>
      <c r="I93" t="s">
        <v>9</v>
      </c>
      <c r="J93" t="s">
        <v>13</v>
      </c>
    </row>
    <row r="94" spans="1:10" x14ac:dyDescent="0.2">
      <c r="A94" t="s">
        <v>1096</v>
      </c>
      <c r="B94">
        <v>0.65300000000000002</v>
      </c>
      <c r="C94">
        <f t="shared" si="2"/>
        <v>0.52048198628928322</v>
      </c>
      <c r="D94">
        <f t="shared" si="3"/>
        <v>1.4196465997078421E-3</v>
      </c>
      <c r="E94" t="s">
        <v>20</v>
      </c>
      <c r="F94" t="s">
        <v>689</v>
      </c>
      <c r="G94" t="s">
        <v>9</v>
      </c>
      <c r="H94" t="s">
        <v>5</v>
      </c>
      <c r="I94" t="s">
        <v>9</v>
      </c>
      <c r="J94" t="s">
        <v>13</v>
      </c>
    </row>
    <row r="95" spans="1:10" x14ac:dyDescent="0.2">
      <c r="A95" t="s">
        <v>734</v>
      </c>
      <c r="B95">
        <v>1.6439999999999999</v>
      </c>
      <c r="C95">
        <f t="shared" si="2"/>
        <v>0.1932056718950137</v>
      </c>
      <c r="D95">
        <f t="shared" si="3"/>
        <v>5.2698034202009565E-4</v>
      </c>
      <c r="E95" t="s">
        <v>0</v>
      </c>
      <c r="F95" t="s">
        <v>689</v>
      </c>
      <c r="G95" t="s">
        <v>26</v>
      </c>
      <c r="H95" t="s">
        <v>5</v>
      </c>
      <c r="I95" t="s">
        <v>9</v>
      </c>
      <c r="J95" t="s">
        <v>13</v>
      </c>
    </row>
    <row r="96" spans="1:10" x14ac:dyDescent="0.2">
      <c r="A96" t="s">
        <v>755</v>
      </c>
      <c r="B96">
        <v>2.0209999999999999</v>
      </c>
      <c r="C96">
        <f t="shared" si="2"/>
        <v>0.13252287592067044</v>
      </c>
      <c r="D96">
        <f t="shared" si="3"/>
        <v>3.614642872188059E-4</v>
      </c>
      <c r="E96" t="s">
        <v>8</v>
      </c>
      <c r="F96" t="s">
        <v>689</v>
      </c>
      <c r="G96" t="s">
        <v>26</v>
      </c>
      <c r="H96" t="s">
        <v>5</v>
      </c>
      <c r="I96" t="s">
        <v>9</v>
      </c>
      <c r="J96" t="s">
        <v>13</v>
      </c>
    </row>
    <row r="97" spans="1:10" x14ac:dyDescent="0.2">
      <c r="A97" t="s">
        <v>769</v>
      </c>
      <c r="B97">
        <v>1.6439999999999999</v>
      </c>
      <c r="C97">
        <f t="shared" si="2"/>
        <v>0.1932056718950137</v>
      </c>
      <c r="D97">
        <f t="shared" si="3"/>
        <v>5.2698034202009565E-4</v>
      </c>
      <c r="E97" t="s">
        <v>9</v>
      </c>
      <c r="F97" t="s">
        <v>689</v>
      </c>
      <c r="G97" t="s">
        <v>26</v>
      </c>
      <c r="H97" t="s">
        <v>5</v>
      </c>
      <c r="I97" t="s">
        <v>9</v>
      </c>
      <c r="J97" t="s">
        <v>13</v>
      </c>
    </row>
    <row r="98" spans="1:10" x14ac:dyDescent="0.2">
      <c r="A98" t="s">
        <v>794</v>
      </c>
      <c r="B98">
        <v>3.2890000000000001</v>
      </c>
      <c r="C98">
        <f t="shared" si="2"/>
        <v>3.7291121878747245E-2</v>
      </c>
      <c r="D98">
        <f t="shared" si="3"/>
        <v>1.0171382635523171E-4</v>
      </c>
      <c r="E98" t="s">
        <v>26</v>
      </c>
      <c r="F98" t="s">
        <v>689</v>
      </c>
      <c r="G98" t="s">
        <v>26</v>
      </c>
      <c r="H98" t="s">
        <v>5</v>
      </c>
      <c r="I98" t="s">
        <v>9</v>
      </c>
      <c r="J98" t="s">
        <v>13</v>
      </c>
    </row>
    <row r="99" spans="1:10" x14ac:dyDescent="0.2">
      <c r="A99" t="s">
        <v>816</v>
      </c>
      <c r="B99">
        <v>1.907</v>
      </c>
      <c r="C99">
        <f t="shared" si="2"/>
        <v>0.14852529478385032</v>
      </c>
      <c r="D99">
        <f t="shared" si="3"/>
        <v>4.051118679702124E-4</v>
      </c>
      <c r="E99" t="s">
        <v>24</v>
      </c>
      <c r="F99" t="s">
        <v>689</v>
      </c>
      <c r="G99" t="s">
        <v>26</v>
      </c>
      <c r="H99" t="s">
        <v>5</v>
      </c>
      <c r="I99" t="s">
        <v>9</v>
      </c>
      <c r="J99" t="s">
        <v>13</v>
      </c>
    </row>
    <row r="100" spans="1:10" x14ac:dyDescent="0.2">
      <c r="A100" t="s">
        <v>836</v>
      </c>
      <c r="B100">
        <v>2.335</v>
      </c>
      <c r="C100">
        <f t="shared" si="2"/>
        <v>9.6810482526460212E-2</v>
      </c>
      <c r="D100">
        <f t="shared" si="3"/>
        <v>2.6405653981342127E-4</v>
      </c>
      <c r="E100" t="s">
        <v>23</v>
      </c>
      <c r="F100" t="s">
        <v>689</v>
      </c>
      <c r="G100" t="s">
        <v>26</v>
      </c>
      <c r="H100" t="s">
        <v>5</v>
      </c>
      <c r="I100" t="s">
        <v>9</v>
      </c>
      <c r="J100" t="s">
        <v>13</v>
      </c>
    </row>
    <row r="101" spans="1:10" x14ac:dyDescent="0.2">
      <c r="A101" t="s">
        <v>855</v>
      </c>
      <c r="B101">
        <v>1.6439999999999999</v>
      </c>
      <c r="C101">
        <f t="shared" si="2"/>
        <v>0.1932056718950137</v>
      </c>
      <c r="D101">
        <f t="shared" si="3"/>
        <v>5.2698034202009565E-4</v>
      </c>
      <c r="E101" t="s">
        <v>10</v>
      </c>
      <c r="F101" t="s">
        <v>689</v>
      </c>
      <c r="G101" t="s">
        <v>26</v>
      </c>
      <c r="H101" t="s">
        <v>5</v>
      </c>
      <c r="I101" t="s">
        <v>9</v>
      </c>
      <c r="J101" t="s">
        <v>13</v>
      </c>
    </row>
    <row r="102" spans="1:10" x14ac:dyDescent="0.2">
      <c r="A102" t="s">
        <v>871</v>
      </c>
      <c r="B102">
        <v>2.4969999999999999</v>
      </c>
      <c r="C102">
        <f t="shared" si="2"/>
        <v>8.2331623371924012E-2</v>
      </c>
      <c r="D102">
        <f t="shared" si="3"/>
        <v>2.2456456178565203E-4</v>
      </c>
      <c r="E102" t="s">
        <v>11</v>
      </c>
      <c r="F102" t="s">
        <v>689</v>
      </c>
      <c r="G102" t="s">
        <v>26</v>
      </c>
      <c r="H102" t="s">
        <v>5</v>
      </c>
      <c r="I102" t="s">
        <v>9</v>
      </c>
      <c r="J102" t="s">
        <v>13</v>
      </c>
    </row>
    <row r="103" spans="1:10" x14ac:dyDescent="0.2">
      <c r="A103" t="s">
        <v>888</v>
      </c>
      <c r="B103">
        <v>1.6439999999999999</v>
      </c>
      <c r="C103">
        <f t="shared" si="2"/>
        <v>0.1932056718950137</v>
      </c>
      <c r="D103">
        <f t="shared" si="3"/>
        <v>5.2698034202009565E-4</v>
      </c>
      <c r="E103" t="s">
        <v>12</v>
      </c>
      <c r="F103" t="s">
        <v>689</v>
      </c>
      <c r="G103" t="s">
        <v>26</v>
      </c>
      <c r="H103" t="s">
        <v>5</v>
      </c>
      <c r="I103" t="s">
        <v>9</v>
      </c>
      <c r="J103" t="s">
        <v>13</v>
      </c>
    </row>
    <row r="104" spans="1:10" x14ac:dyDescent="0.2">
      <c r="A104" t="s">
        <v>899</v>
      </c>
      <c r="B104">
        <v>1.6439999999999999</v>
      </c>
      <c r="C104">
        <f t="shared" si="2"/>
        <v>0.1932056718950137</v>
      </c>
      <c r="D104">
        <f t="shared" si="3"/>
        <v>5.2698034202009565E-4</v>
      </c>
      <c r="E104" t="s">
        <v>5</v>
      </c>
      <c r="F104" t="s">
        <v>689</v>
      </c>
      <c r="G104" t="s">
        <v>26</v>
      </c>
      <c r="H104" t="s">
        <v>5</v>
      </c>
      <c r="I104" t="s">
        <v>9</v>
      </c>
      <c r="J104" t="s">
        <v>13</v>
      </c>
    </row>
    <row r="105" spans="1:10" x14ac:dyDescent="0.2">
      <c r="A105" t="s">
        <v>907</v>
      </c>
      <c r="B105">
        <v>1.6439999999999999</v>
      </c>
      <c r="C105">
        <f t="shared" si="2"/>
        <v>0.1932056718950137</v>
      </c>
      <c r="D105">
        <f t="shared" si="3"/>
        <v>5.2698034202009565E-4</v>
      </c>
      <c r="E105" t="s">
        <v>22</v>
      </c>
      <c r="F105" t="s">
        <v>689</v>
      </c>
      <c r="G105" t="s">
        <v>26</v>
      </c>
      <c r="H105" t="s">
        <v>5</v>
      </c>
      <c r="I105" t="s">
        <v>9</v>
      </c>
      <c r="J105" t="s">
        <v>13</v>
      </c>
    </row>
    <row r="106" spans="1:10" x14ac:dyDescent="0.2">
      <c r="A106" t="s">
        <v>924</v>
      </c>
      <c r="B106">
        <v>1.6439999999999999</v>
      </c>
      <c r="C106">
        <f t="shared" si="2"/>
        <v>0.1932056718950137</v>
      </c>
      <c r="D106">
        <f t="shared" si="3"/>
        <v>5.2698034202009565E-4</v>
      </c>
      <c r="E106" t="s">
        <v>13</v>
      </c>
      <c r="F106" t="s">
        <v>689</v>
      </c>
      <c r="G106" t="s">
        <v>26</v>
      </c>
      <c r="H106" t="s">
        <v>5</v>
      </c>
      <c r="I106" t="s">
        <v>9</v>
      </c>
      <c r="J106" t="s">
        <v>13</v>
      </c>
    </row>
    <row r="107" spans="1:10" x14ac:dyDescent="0.2">
      <c r="A107" t="s">
        <v>941</v>
      </c>
      <c r="B107">
        <v>1.6439999999999999</v>
      </c>
      <c r="C107">
        <f t="shared" si="2"/>
        <v>0.1932056718950137</v>
      </c>
      <c r="D107">
        <f t="shared" si="3"/>
        <v>5.2698034202009565E-4</v>
      </c>
      <c r="E107" t="s">
        <v>2</v>
      </c>
      <c r="F107" t="s">
        <v>689</v>
      </c>
      <c r="G107" t="s">
        <v>26</v>
      </c>
      <c r="H107" t="s">
        <v>5</v>
      </c>
      <c r="I107" t="s">
        <v>9</v>
      </c>
      <c r="J107" t="s">
        <v>13</v>
      </c>
    </row>
    <row r="108" spans="1:10" x14ac:dyDescent="0.2">
      <c r="A108" t="s">
        <v>949</v>
      </c>
      <c r="B108">
        <v>1.6439999999999999</v>
      </c>
      <c r="C108">
        <f t="shared" si="2"/>
        <v>0.1932056718950137</v>
      </c>
      <c r="D108">
        <f t="shared" si="3"/>
        <v>5.2698034202009565E-4</v>
      </c>
      <c r="E108" t="s">
        <v>14</v>
      </c>
      <c r="F108" t="s">
        <v>689</v>
      </c>
      <c r="G108" t="s">
        <v>26</v>
      </c>
      <c r="H108" t="s">
        <v>5</v>
      </c>
      <c r="I108" t="s">
        <v>9</v>
      </c>
      <c r="J108" t="s">
        <v>13</v>
      </c>
    </row>
    <row r="109" spans="1:10" x14ac:dyDescent="0.2">
      <c r="A109" t="s">
        <v>1014</v>
      </c>
      <c r="B109">
        <v>2.9239999999999999</v>
      </c>
      <c r="C109">
        <f t="shared" si="2"/>
        <v>5.3718383445935165E-2</v>
      </c>
      <c r="D109">
        <f t="shared" si="3"/>
        <v>1.4652019168716834E-4</v>
      </c>
      <c r="E109" t="s">
        <v>25</v>
      </c>
      <c r="F109" t="s">
        <v>689</v>
      </c>
      <c r="G109" t="s">
        <v>26</v>
      </c>
      <c r="H109" t="s">
        <v>5</v>
      </c>
      <c r="I109" t="s">
        <v>9</v>
      </c>
      <c r="J109" t="s">
        <v>13</v>
      </c>
    </row>
    <row r="110" spans="1:10" x14ac:dyDescent="0.2">
      <c r="A110" t="s">
        <v>1037</v>
      </c>
      <c r="B110">
        <v>2.0960000000000001</v>
      </c>
      <c r="C110">
        <f t="shared" si="2"/>
        <v>0.122947234924929</v>
      </c>
      <c r="D110">
        <f t="shared" si="3"/>
        <v>3.3534613800764029E-4</v>
      </c>
      <c r="E110" t="s">
        <v>17</v>
      </c>
      <c r="F110" t="s">
        <v>689</v>
      </c>
      <c r="G110" t="s">
        <v>26</v>
      </c>
      <c r="H110" t="s">
        <v>5</v>
      </c>
      <c r="I110" t="s">
        <v>9</v>
      </c>
      <c r="J110" t="s">
        <v>13</v>
      </c>
    </row>
    <row r="111" spans="1:10" x14ac:dyDescent="0.2">
      <c r="A111" t="s">
        <v>1049</v>
      </c>
      <c r="B111">
        <v>1.6439999999999999</v>
      </c>
      <c r="C111">
        <f t="shared" si="2"/>
        <v>0.1932056718950137</v>
      </c>
      <c r="D111">
        <f t="shared" si="3"/>
        <v>5.2698034202009565E-4</v>
      </c>
      <c r="E111" t="s">
        <v>18</v>
      </c>
      <c r="F111" t="s">
        <v>689</v>
      </c>
      <c r="G111" t="s">
        <v>26</v>
      </c>
      <c r="H111" t="s">
        <v>5</v>
      </c>
      <c r="I111" t="s">
        <v>9</v>
      </c>
      <c r="J111" t="s">
        <v>13</v>
      </c>
    </row>
    <row r="112" spans="1:10" x14ac:dyDescent="0.2">
      <c r="A112" t="s">
        <v>1072</v>
      </c>
      <c r="B112">
        <v>4.6340000000000003</v>
      </c>
      <c r="C112">
        <f t="shared" si="2"/>
        <v>9.7158180000595489E-3</v>
      </c>
      <c r="D112">
        <f t="shared" si="3"/>
        <v>2.6500490603912351E-5</v>
      </c>
      <c r="E112" t="s">
        <v>19</v>
      </c>
      <c r="F112" t="s">
        <v>689</v>
      </c>
      <c r="G112" t="s">
        <v>26</v>
      </c>
      <c r="H112" t="s">
        <v>5</v>
      </c>
      <c r="I112" t="s">
        <v>9</v>
      </c>
      <c r="J112" t="s">
        <v>13</v>
      </c>
    </row>
    <row r="113" spans="1:10" x14ac:dyDescent="0.2">
      <c r="A113" t="s">
        <v>1097</v>
      </c>
      <c r="B113">
        <v>2.2970000000000002</v>
      </c>
      <c r="C113">
        <f t="shared" si="2"/>
        <v>0.10056007187027226</v>
      </c>
      <c r="D113">
        <f t="shared" si="3"/>
        <v>2.7428377515002517E-4</v>
      </c>
      <c r="E113" t="s">
        <v>20</v>
      </c>
      <c r="F113" t="s">
        <v>689</v>
      </c>
      <c r="G113" t="s">
        <v>26</v>
      </c>
      <c r="H113" t="s">
        <v>5</v>
      </c>
      <c r="I113" t="s">
        <v>9</v>
      </c>
      <c r="J113" t="s">
        <v>13</v>
      </c>
    </row>
    <row r="114" spans="1:10" x14ac:dyDescent="0.2">
      <c r="A114" t="s">
        <v>735</v>
      </c>
      <c r="B114">
        <v>0</v>
      </c>
      <c r="C114">
        <f t="shared" si="2"/>
        <v>1</v>
      </c>
      <c r="D114">
        <f t="shared" si="3"/>
        <v>2.7275614470907055E-3</v>
      </c>
      <c r="E114" t="s">
        <v>0</v>
      </c>
      <c r="F114" t="s">
        <v>689</v>
      </c>
      <c r="G114" t="s">
        <v>23</v>
      </c>
      <c r="H114" t="s">
        <v>5</v>
      </c>
      <c r="I114" t="s">
        <v>9</v>
      </c>
      <c r="J114" t="s">
        <v>13</v>
      </c>
    </row>
    <row r="115" spans="1:10" x14ac:dyDescent="0.2">
      <c r="A115" t="s">
        <v>756</v>
      </c>
      <c r="B115">
        <v>0.377</v>
      </c>
      <c r="C115">
        <f t="shared" si="2"/>
        <v>0.68591607389602016</v>
      </c>
      <c r="D115">
        <f t="shared" si="3"/>
        <v>1.8708782390986041E-3</v>
      </c>
      <c r="E115" t="s">
        <v>8</v>
      </c>
      <c r="F115" t="s">
        <v>689</v>
      </c>
      <c r="G115" t="s">
        <v>23</v>
      </c>
      <c r="H115" t="s">
        <v>5</v>
      </c>
      <c r="I115" t="s">
        <v>9</v>
      </c>
      <c r="J115" t="s">
        <v>13</v>
      </c>
    </row>
    <row r="116" spans="1:10" x14ac:dyDescent="0.2">
      <c r="A116" t="s">
        <v>796</v>
      </c>
      <c r="B116">
        <v>1.6439999999999999</v>
      </c>
      <c r="C116">
        <f t="shared" si="2"/>
        <v>0.1932056718950137</v>
      </c>
      <c r="D116">
        <f t="shared" si="3"/>
        <v>5.2698034202009565E-4</v>
      </c>
      <c r="E116" t="s">
        <v>26</v>
      </c>
      <c r="F116" t="s">
        <v>689</v>
      </c>
      <c r="G116" t="s">
        <v>23</v>
      </c>
      <c r="H116" t="s">
        <v>5</v>
      </c>
      <c r="I116" t="s">
        <v>9</v>
      </c>
      <c r="J116" t="s">
        <v>13</v>
      </c>
    </row>
    <row r="117" spans="1:10" x14ac:dyDescent="0.2">
      <c r="A117" t="s">
        <v>838</v>
      </c>
      <c r="B117">
        <v>0.69099999999999995</v>
      </c>
      <c r="C117">
        <f t="shared" si="2"/>
        <v>0.50107474370144889</v>
      </c>
      <c r="D117">
        <f t="shared" si="3"/>
        <v>1.3667121530309284E-3</v>
      </c>
      <c r="E117" t="s">
        <v>23</v>
      </c>
      <c r="F117" t="s">
        <v>689</v>
      </c>
      <c r="G117" t="s">
        <v>23</v>
      </c>
      <c r="H117" t="s">
        <v>5</v>
      </c>
      <c r="I117" t="s">
        <v>9</v>
      </c>
      <c r="J117" t="s">
        <v>13</v>
      </c>
    </row>
    <row r="118" spans="1:10" x14ac:dyDescent="0.2">
      <c r="A118" t="s">
        <v>873</v>
      </c>
      <c r="B118">
        <v>0.85299999999999998</v>
      </c>
      <c r="C118">
        <f t="shared" si="2"/>
        <v>0.42613460859814872</v>
      </c>
      <c r="D118">
        <f t="shared" si="3"/>
        <v>1.1623083296833979E-3</v>
      </c>
      <c r="E118" t="s">
        <v>11</v>
      </c>
      <c r="F118" t="s">
        <v>689</v>
      </c>
      <c r="G118" t="s">
        <v>23</v>
      </c>
      <c r="H118" t="s">
        <v>5</v>
      </c>
      <c r="I118" t="s">
        <v>9</v>
      </c>
      <c r="J118" t="s">
        <v>13</v>
      </c>
    </row>
    <row r="119" spans="1:10" x14ac:dyDescent="0.2">
      <c r="A119" t="s">
        <v>889</v>
      </c>
      <c r="B119">
        <v>0</v>
      </c>
      <c r="C119">
        <f t="shared" si="2"/>
        <v>1</v>
      </c>
      <c r="D119">
        <f t="shared" si="3"/>
        <v>2.7275614470907055E-3</v>
      </c>
      <c r="E119" t="s">
        <v>12</v>
      </c>
      <c r="F119" t="s">
        <v>689</v>
      </c>
      <c r="G119" t="s">
        <v>23</v>
      </c>
      <c r="H119" t="s">
        <v>5</v>
      </c>
      <c r="I119" t="s">
        <v>9</v>
      </c>
      <c r="J119" t="s">
        <v>13</v>
      </c>
    </row>
    <row r="120" spans="1:10" x14ac:dyDescent="0.2">
      <c r="A120" t="s">
        <v>909</v>
      </c>
      <c r="B120">
        <v>0</v>
      </c>
      <c r="C120">
        <f t="shared" si="2"/>
        <v>1</v>
      </c>
      <c r="D120">
        <f t="shared" si="3"/>
        <v>2.7275614470907055E-3</v>
      </c>
      <c r="E120" t="s">
        <v>22</v>
      </c>
      <c r="F120" t="s">
        <v>689</v>
      </c>
      <c r="G120" t="s">
        <v>23</v>
      </c>
      <c r="H120" t="s">
        <v>5</v>
      </c>
      <c r="I120" t="s">
        <v>9</v>
      </c>
      <c r="J120" t="s">
        <v>13</v>
      </c>
    </row>
    <row r="121" spans="1:10" x14ac:dyDescent="0.2">
      <c r="A121" t="s">
        <v>925</v>
      </c>
      <c r="B121">
        <v>0</v>
      </c>
      <c r="C121">
        <f t="shared" si="2"/>
        <v>1</v>
      </c>
      <c r="D121">
        <f t="shared" si="3"/>
        <v>2.7275614470907055E-3</v>
      </c>
      <c r="E121" t="s">
        <v>13</v>
      </c>
      <c r="F121" t="s">
        <v>689</v>
      </c>
      <c r="G121" t="s">
        <v>23</v>
      </c>
      <c r="H121" t="s">
        <v>5</v>
      </c>
      <c r="I121" t="s">
        <v>9</v>
      </c>
      <c r="J121" t="s">
        <v>13</v>
      </c>
    </row>
    <row r="122" spans="1:10" x14ac:dyDescent="0.2">
      <c r="A122" t="s">
        <v>979</v>
      </c>
      <c r="B122">
        <v>0.377</v>
      </c>
      <c r="C122">
        <f t="shared" si="2"/>
        <v>0.68591607389602016</v>
      </c>
      <c r="D122">
        <f t="shared" si="3"/>
        <v>1.8708782390986041E-3</v>
      </c>
      <c r="E122" t="s">
        <v>15</v>
      </c>
      <c r="F122" t="s">
        <v>689</v>
      </c>
      <c r="G122" t="s">
        <v>23</v>
      </c>
      <c r="H122" t="s">
        <v>5</v>
      </c>
      <c r="I122" t="s">
        <v>9</v>
      </c>
      <c r="J122" t="s">
        <v>13</v>
      </c>
    </row>
    <row r="123" spans="1:10" x14ac:dyDescent="0.2">
      <c r="A123" t="s">
        <v>1015</v>
      </c>
      <c r="B123">
        <v>1.28</v>
      </c>
      <c r="C123">
        <f t="shared" si="2"/>
        <v>0.27803730045319414</v>
      </c>
      <c r="D123">
        <f t="shared" si="3"/>
        <v>7.5836382156930756E-4</v>
      </c>
      <c r="E123" t="s">
        <v>25</v>
      </c>
      <c r="F123" t="s">
        <v>689</v>
      </c>
      <c r="G123" t="s">
        <v>23</v>
      </c>
      <c r="H123" t="s">
        <v>5</v>
      </c>
      <c r="I123" t="s">
        <v>9</v>
      </c>
      <c r="J123" t="s">
        <v>13</v>
      </c>
    </row>
    <row r="124" spans="1:10" x14ac:dyDescent="0.2">
      <c r="A124" t="s">
        <v>1051</v>
      </c>
      <c r="B124">
        <v>0</v>
      </c>
      <c r="C124">
        <f t="shared" si="2"/>
        <v>1</v>
      </c>
      <c r="D124">
        <f t="shared" si="3"/>
        <v>2.7275614470907055E-3</v>
      </c>
      <c r="E124" t="s">
        <v>18</v>
      </c>
      <c r="F124" t="s">
        <v>689</v>
      </c>
      <c r="G124" t="s">
        <v>23</v>
      </c>
      <c r="H124" t="s">
        <v>5</v>
      </c>
      <c r="I124" t="s">
        <v>9</v>
      </c>
      <c r="J124" t="s">
        <v>13</v>
      </c>
    </row>
    <row r="125" spans="1:10" x14ac:dyDescent="0.2">
      <c r="A125" t="s">
        <v>1074</v>
      </c>
      <c r="B125">
        <v>2.99</v>
      </c>
      <c r="C125">
        <f t="shared" si="2"/>
        <v>5.0287436723591865E-2</v>
      </c>
      <c r="D125">
        <f t="shared" si="3"/>
        <v>1.3716207368028252E-4</v>
      </c>
      <c r="E125" t="s">
        <v>19</v>
      </c>
      <c r="F125" t="s">
        <v>689</v>
      </c>
      <c r="G125" t="s">
        <v>23</v>
      </c>
      <c r="H125" t="s">
        <v>5</v>
      </c>
      <c r="I125" t="s">
        <v>9</v>
      </c>
      <c r="J125" t="s">
        <v>13</v>
      </c>
    </row>
    <row r="126" spans="1:10" x14ac:dyDescent="0.2">
      <c r="A126" t="s">
        <v>736</v>
      </c>
      <c r="B126">
        <v>0.85299999999999998</v>
      </c>
      <c r="C126">
        <f t="shared" si="2"/>
        <v>0.42613460859814872</v>
      </c>
      <c r="D126">
        <f t="shared" si="3"/>
        <v>1.1623083296833979E-3</v>
      </c>
      <c r="E126" t="s">
        <v>0</v>
      </c>
      <c r="F126" t="s">
        <v>689</v>
      </c>
      <c r="G126" t="s">
        <v>11</v>
      </c>
      <c r="H126" t="s">
        <v>5</v>
      </c>
      <c r="I126" t="s">
        <v>9</v>
      </c>
      <c r="J126" t="s">
        <v>13</v>
      </c>
    </row>
    <row r="127" spans="1:10" x14ac:dyDescent="0.2">
      <c r="A127" t="s">
        <v>757</v>
      </c>
      <c r="B127">
        <v>1.23</v>
      </c>
      <c r="C127">
        <f t="shared" si="2"/>
        <v>0.29229257768085942</v>
      </c>
      <c r="D127">
        <f t="shared" si="3"/>
        <v>7.9724596615307738E-4</v>
      </c>
      <c r="E127" t="s">
        <v>8</v>
      </c>
      <c r="F127" t="s">
        <v>689</v>
      </c>
      <c r="G127" t="s">
        <v>11</v>
      </c>
      <c r="H127" t="s">
        <v>5</v>
      </c>
      <c r="I127" t="s">
        <v>9</v>
      </c>
      <c r="J127" t="s">
        <v>13</v>
      </c>
    </row>
    <row r="128" spans="1:10" x14ac:dyDescent="0.2">
      <c r="A128" t="s">
        <v>771</v>
      </c>
      <c r="B128">
        <v>0.85299999999999998</v>
      </c>
      <c r="C128">
        <f t="shared" si="2"/>
        <v>0.42613460859814872</v>
      </c>
      <c r="D128">
        <f t="shared" si="3"/>
        <v>1.1623083296833979E-3</v>
      </c>
      <c r="E128" t="s">
        <v>9</v>
      </c>
      <c r="F128" t="s">
        <v>689</v>
      </c>
      <c r="G128" t="s">
        <v>11</v>
      </c>
      <c r="H128" t="s">
        <v>5</v>
      </c>
      <c r="I128" t="s">
        <v>9</v>
      </c>
      <c r="J128" t="s">
        <v>13</v>
      </c>
    </row>
    <row r="129" spans="1:10" x14ac:dyDescent="0.2">
      <c r="A129" t="s">
        <v>797</v>
      </c>
      <c r="B129">
        <v>2.4969999999999999</v>
      </c>
      <c r="C129">
        <f t="shared" si="2"/>
        <v>8.2331623371924012E-2</v>
      </c>
      <c r="D129">
        <f t="shared" si="3"/>
        <v>2.2456456178565203E-4</v>
      </c>
      <c r="E129" t="s">
        <v>26</v>
      </c>
      <c r="F129" t="s">
        <v>689</v>
      </c>
      <c r="G129" t="s">
        <v>11</v>
      </c>
      <c r="H129" t="s">
        <v>5</v>
      </c>
      <c r="I129" t="s">
        <v>9</v>
      </c>
      <c r="J129" t="s">
        <v>13</v>
      </c>
    </row>
    <row r="130" spans="1:10" x14ac:dyDescent="0.2">
      <c r="A130" t="s">
        <v>839</v>
      </c>
      <c r="B130">
        <v>1.544</v>
      </c>
      <c r="C130">
        <f t="shared" si="2"/>
        <v>0.21352528978563459</v>
      </c>
      <c r="D130">
        <f t="shared" si="3"/>
        <v>5.8240334839816774E-4</v>
      </c>
      <c r="E130" t="s">
        <v>23</v>
      </c>
      <c r="F130" t="s">
        <v>689</v>
      </c>
      <c r="G130" t="s">
        <v>11</v>
      </c>
      <c r="H130" t="s">
        <v>5</v>
      </c>
      <c r="I130" t="s">
        <v>9</v>
      </c>
      <c r="J130" t="s">
        <v>13</v>
      </c>
    </row>
    <row r="131" spans="1:10" x14ac:dyDescent="0.2">
      <c r="A131" t="s">
        <v>874</v>
      </c>
      <c r="B131">
        <v>1.7050000000000001</v>
      </c>
      <c r="C131">
        <f t="shared" ref="C131:C194" si="4">EXP(-B131)</f>
        <v>0.18177238617536751</v>
      </c>
      <c r="D131">
        <f t="shared" ref="D131:D194" si="5">C131/366.627854</f>
        <v>4.95795352677616E-4</v>
      </c>
      <c r="E131" t="s">
        <v>11</v>
      </c>
      <c r="F131" t="s">
        <v>689</v>
      </c>
      <c r="G131" t="s">
        <v>11</v>
      </c>
      <c r="H131" t="s">
        <v>5</v>
      </c>
      <c r="I131" t="s">
        <v>9</v>
      </c>
      <c r="J131" t="s">
        <v>13</v>
      </c>
    </row>
    <row r="132" spans="1:10" x14ac:dyDescent="0.2">
      <c r="A132" t="s">
        <v>890</v>
      </c>
      <c r="B132">
        <v>0.85299999999999998</v>
      </c>
      <c r="C132">
        <f t="shared" si="4"/>
        <v>0.42613460859814872</v>
      </c>
      <c r="D132">
        <f t="shared" si="5"/>
        <v>1.1623083296833979E-3</v>
      </c>
      <c r="E132" t="s">
        <v>12</v>
      </c>
      <c r="F132" t="s">
        <v>689</v>
      </c>
      <c r="G132" t="s">
        <v>11</v>
      </c>
      <c r="H132" t="s">
        <v>5</v>
      </c>
      <c r="I132" t="s">
        <v>9</v>
      </c>
      <c r="J132" t="s">
        <v>13</v>
      </c>
    </row>
    <row r="133" spans="1:10" x14ac:dyDescent="0.2">
      <c r="A133" t="s">
        <v>910</v>
      </c>
      <c r="B133">
        <v>0.85299999999999998</v>
      </c>
      <c r="C133">
        <f t="shared" si="4"/>
        <v>0.42613460859814872</v>
      </c>
      <c r="D133">
        <f t="shared" si="5"/>
        <v>1.1623083296833979E-3</v>
      </c>
      <c r="E133" t="s">
        <v>22</v>
      </c>
      <c r="F133" t="s">
        <v>689</v>
      </c>
      <c r="G133" t="s">
        <v>11</v>
      </c>
      <c r="H133" t="s">
        <v>5</v>
      </c>
      <c r="I133" t="s">
        <v>9</v>
      </c>
      <c r="J133" t="s">
        <v>13</v>
      </c>
    </row>
    <row r="134" spans="1:10" x14ac:dyDescent="0.2">
      <c r="A134" t="s">
        <v>926</v>
      </c>
      <c r="B134">
        <v>0.85299999999999998</v>
      </c>
      <c r="C134">
        <f t="shared" si="4"/>
        <v>0.42613460859814872</v>
      </c>
      <c r="D134">
        <f t="shared" si="5"/>
        <v>1.1623083296833979E-3</v>
      </c>
      <c r="E134" t="s">
        <v>13</v>
      </c>
      <c r="F134" t="s">
        <v>689</v>
      </c>
      <c r="G134" t="s">
        <v>11</v>
      </c>
      <c r="H134" t="s">
        <v>5</v>
      </c>
      <c r="I134" t="s">
        <v>9</v>
      </c>
      <c r="J134" t="s">
        <v>13</v>
      </c>
    </row>
    <row r="135" spans="1:10" x14ac:dyDescent="0.2">
      <c r="A135" t="s">
        <v>943</v>
      </c>
      <c r="B135">
        <v>0.85299999999999998</v>
      </c>
      <c r="C135">
        <f t="shared" si="4"/>
        <v>0.42613460859814872</v>
      </c>
      <c r="D135">
        <f t="shared" si="5"/>
        <v>1.1623083296833979E-3</v>
      </c>
      <c r="E135" t="s">
        <v>2</v>
      </c>
      <c r="F135" t="s">
        <v>689</v>
      </c>
      <c r="G135" t="s">
        <v>11</v>
      </c>
      <c r="H135" t="s">
        <v>5</v>
      </c>
      <c r="I135" t="s">
        <v>9</v>
      </c>
      <c r="J135" t="s">
        <v>13</v>
      </c>
    </row>
    <row r="136" spans="1:10" x14ac:dyDescent="0.2">
      <c r="A136" t="s">
        <v>980</v>
      </c>
      <c r="B136">
        <v>1.23</v>
      </c>
      <c r="C136">
        <f t="shared" si="4"/>
        <v>0.29229257768085942</v>
      </c>
      <c r="D136">
        <f t="shared" si="5"/>
        <v>7.9724596615307738E-4</v>
      </c>
      <c r="E136" t="s">
        <v>15</v>
      </c>
      <c r="F136" t="s">
        <v>689</v>
      </c>
      <c r="G136" t="s">
        <v>11</v>
      </c>
      <c r="H136" t="s">
        <v>5</v>
      </c>
      <c r="I136" t="s">
        <v>9</v>
      </c>
      <c r="J136" t="s">
        <v>13</v>
      </c>
    </row>
    <row r="137" spans="1:10" x14ac:dyDescent="0.2">
      <c r="A137" t="s">
        <v>993</v>
      </c>
      <c r="B137">
        <v>0.85299999999999998</v>
      </c>
      <c r="C137">
        <f t="shared" si="4"/>
        <v>0.42613460859814872</v>
      </c>
      <c r="D137">
        <f t="shared" si="5"/>
        <v>1.1623083296833979E-3</v>
      </c>
      <c r="E137" t="s">
        <v>16</v>
      </c>
      <c r="F137" t="s">
        <v>689</v>
      </c>
      <c r="G137" t="s">
        <v>11</v>
      </c>
      <c r="H137" t="s">
        <v>5</v>
      </c>
      <c r="I137" t="s">
        <v>9</v>
      </c>
      <c r="J137" t="s">
        <v>13</v>
      </c>
    </row>
    <row r="138" spans="1:10" x14ac:dyDescent="0.2">
      <c r="A138" t="s">
        <v>1016</v>
      </c>
      <c r="B138">
        <v>2.133</v>
      </c>
      <c r="C138">
        <f t="shared" si="4"/>
        <v>0.11848131620430775</v>
      </c>
      <c r="D138">
        <f t="shared" si="5"/>
        <v>3.2316507027943314E-4</v>
      </c>
      <c r="E138" t="s">
        <v>25</v>
      </c>
      <c r="F138" t="s">
        <v>689</v>
      </c>
      <c r="G138" t="s">
        <v>11</v>
      </c>
      <c r="H138" t="s">
        <v>5</v>
      </c>
      <c r="I138" t="s">
        <v>9</v>
      </c>
      <c r="J138" t="s">
        <v>13</v>
      </c>
    </row>
    <row r="139" spans="1:10" x14ac:dyDescent="0.2">
      <c r="A139" t="s">
        <v>1039</v>
      </c>
      <c r="B139">
        <v>1.304</v>
      </c>
      <c r="C139">
        <f t="shared" si="4"/>
        <v>0.27144384321211973</v>
      </c>
      <c r="D139">
        <f t="shared" si="5"/>
        <v>7.4037976179551187E-4</v>
      </c>
      <c r="E139" t="s">
        <v>17</v>
      </c>
      <c r="F139" t="s">
        <v>689</v>
      </c>
      <c r="G139" t="s">
        <v>11</v>
      </c>
      <c r="H139" t="s">
        <v>5</v>
      </c>
      <c r="I139" t="s">
        <v>9</v>
      </c>
      <c r="J139" t="s">
        <v>13</v>
      </c>
    </row>
    <row r="140" spans="1:10" x14ac:dyDescent="0.2">
      <c r="A140" t="s">
        <v>1075</v>
      </c>
      <c r="B140">
        <v>3.8420000000000001</v>
      </c>
      <c r="C140">
        <f t="shared" si="4"/>
        <v>2.1450657100958614E-2</v>
      </c>
      <c r="D140">
        <f t="shared" si="5"/>
        <v>5.8507985323337198E-5</v>
      </c>
      <c r="E140" t="s">
        <v>19</v>
      </c>
      <c r="F140" t="s">
        <v>689</v>
      </c>
      <c r="G140" t="s">
        <v>11</v>
      </c>
      <c r="H140" t="s">
        <v>5</v>
      </c>
      <c r="I140" t="s">
        <v>9</v>
      </c>
      <c r="J140" t="s">
        <v>13</v>
      </c>
    </row>
    <row r="141" spans="1:10" x14ac:dyDescent="0.2">
      <c r="A141" t="s">
        <v>1099</v>
      </c>
      <c r="B141">
        <v>1.5049999999999999</v>
      </c>
      <c r="C141">
        <f t="shared" si="4"/>
        <v>0.22201729383194943</v>
      </c>
      <c r="D141">
        <f t="shared" si="5"/>
        <v>6.0556581124343437E-4</v>
      </c>
      <c r="E141" t="s">
        <v>20</v>
      </c>
      <c r="F141" t="s">
        <v>689</v>
      </c>
      <c r="G141" t="s">
        <v>11</v>
      </c>
      <c r="H141" t="s">
        <v>5</v>
      </c>
      <c r="I141" t="s">
        <v>9</v>
      </c>
      <c r="J141" t="s">
        <v>13</v>
      </c>
    </row>
    <row r="142" spans="1:10" x14ac:dyDescent="0.2">
      <c r="A142" t="s">
        <v>761</v>
      </c>
      <c r="B142">
        <v>0.82899999999999996</v>
      </c>
      <c r="C142">
        <f t="shared" si="4"/>
        <v>0.43648555370519337</v>
      </c>
      <c r="D142">
        <f t="shared" si="5"/>
        <v>1.1905411684983251E-3</v>
      </c>
      <c r="E142" t="s">
        <v>8</v>
      </c>
      <c r="F142" t="s">
        <v>689</v>
      </c>
      <c r="G142" t="s">
        <v>17</v>
      </c>
      <c r="H142" t="s">
        <v>5</v>
      </c>
      <c r="I142" t="s">
        <v>9</v>
      </c>
      <c r="J142" t="s">
        <v>13</v>
      </c>
    </row>
    <row r="143" spans="1:10" x14ac:dyDescent="0.2">
      <c r="A143" t="s">
        <v>774</v>
      </c>
      <c r="B143">
        <v>0.45200000000000001</v>
      </c>
      <c r="C143">
        <f t="shared" si="4"/>
        <v>0.63635416972508707</v>
      </c>
      <c r="D143">
        <f t="shared" si="5"/>
        <v>1.7356951000375631E-3</v>
      </c>
      <c r="E143" t="s">
        <v>9</v>
      </c>
      <c r="F143" t="s">
        <v>689</v>
      </c>
      <c r="G143" t="s">
        <v>17</v>
      </c>
      <c r="H143" t="s">
        <v>5</v>
      </c>
      <c r="I143" t="s">
        <v>9</v>
      </c>
      <c r="J143" t="s">
        <v>13</v>
      </c>
    </row>
    <row r="144" spans="1:10" x14ac:dyDescent="0.2">
      <c r="A144" t="s">
        <v>804</v>
      </c>
      <c r="B144">
        <v>2.0960000000000001</v>
      </c>
      <c r="C144">
        <f t="shared" si="4"/>
        <v>0.122947234924929</v>
      </c>
      <c r="D144">
        <f t="shared" si="5"/>
        <v>3.3534613800764029E-4</v>
      </c>
      <c r="E144" t="s">
        <v>26</v>
      </c>
      <c r="F144" t="s">
        <v>689</v>
      </c>
      <c r="G144" t="s">
        <v>17</v>
      </c>
      <c r="H144" t="s">
        <v>5</v>
      </c>
      <c r="I144" t="s">
        <v>9</v>
      </c>
      <c r="J144" t="s">
        <v>13</v>
      </c>
    </row>
    <row r="145" spans="1:10" x14ac:dyDescent="0.2">
      <c r="A145" t="s">
        <v>820</v>
      </c>
      <c r="B145">
        <v>0.71499999999999997</v>
      </c>
      <c r="C145">
        <f t="shared" si="4"/>
        <v>0.48919211179633154</v>
      </c>
      <c r="D145">
        <f t="shared" si="5"/>
        <v>1.3343015443565602E-3</v>
      </c>
      <c r="E145" t="s">
        <v>24</v>
      </c>
      <c r="F145" t="s">
        <v>689</v>
      </c>
      <c r="G145" t="s">
        <v>17</v>
      </c>
      <c r="H145" t="s">
        <v>5</v>
      </c>
      <c r="I145" t="s">
        <v>9</v>
      </c>
      <c r="J145" t="s">
        <v>13</v>
      </c>
    </row>
    <row r="146" spans="1:10" x14ac:dyDescent="0.2">
      <c r="A146" t="s">
        <v>843</v>
      </c>
      <c r="B146">
        <v>1.143</v>
      </c>
      <c r="C146">
        <f t="shared" si="4"/>
        <v>0.31886100249834631</v>
      </c>
      <c r="D146">
        <f t="shared" si="5"/>
        <v>8.6971297739518261E-4</v>
      </c>
      <c r="E146" t="s">
        <v>23</v>
      </c>
      <c r="F146" t="s">
        <v>689</v>
      </c>
      <c r="G146" t="s">
        <v>17</v>
      </c>
      <c r="H146" t="s">
        <v>5</v>
      </c>
      <c r="I146" t="s">
        <v>9</v>
      </c>
      <c r="J146" t="s">
        <v>13</v>
      </c>
    </row>
    <row r="147" spans="1:10" x14ac:dyDescent="0.2">
      <c r="A147" t="s">
        <v>878</v>
      </c>
      <c r="B147">
        <v>1.304</v>
      </c>
      <c r="C147">
        <f t="shared" si="4"/>
        <v>0.27144384321211973</v>
      </c>
      <c r="D147">
        <f t="shared" si="5"/>
        <v>7.4037976179551187E-4</v>
      </c>
      <c r="E147" t="s">
        <v>11</v>
      </c>
      <c r="F147" t="s">
        <v>689</v>
      </c>
      <c r="G147" t="s">
        <v>17</v>
      </c>
      <c r="H147" t="s">
        <v>5</v>
      </c>
      <c r="I147" t="s">
        <v>9</v>
      </c>
      <c r="J147" t="s">
        <v>13</v>
      </c>
    </row>
    <row r="148" spans="1:10" x14ac:dyDescent="0.2">
      <c r="A148" t="s">
        <v>892</v>
      </c>
      <c r="B148">
        <v>0.45200000000000001</v>
      </c>
      <c r="C148">
        <f t="shared" si="4"/>
        <v>0.63635416972508707</v>
      </c>
      <c r="D148">
        <f t="shared" si="5"/>
        <v>1.7356951000375631E-3</v>
      </c>
      <c r="E148" t="s">
        <v>12</v>
      </c>
      <c r="F148" t="s">
        <v>689</v>
      </c>
      <c r="G148" t="s">
        <v>17</v>
      </c>
      <c r="H148" t="s">
        <v>5</v>
      </c>
      <c r="I148" t="s">
        <v>9</v>
      </c>
      <c r="J148" t="s">
        <v>13</v>
      </c>
    </row>
    <row r="149" spans="1:10" x14ac:dyDescent="0.2">
      <c r="A149" t="s">
        <v>962</v>
      </c>
      <c r="B149">
        <v>0.45200000000000001</v>
      </c>
      <c r="C149">
        <f t="shared" si="4"/>
        <v>0.63635416972508707</v>
      </c>
      <c r="D149">
        <f t="shared" si="5"/>
        <v>1.7356951000375631E-3</v>
      </c>
      <c r="E149" t="s">
        <v>1</v>
      </c>
      <c r="F149" t="s">
        <v>689</v>
      </c>
      <c r="G149" t="s">
        <v>17</v>
      </c>
      <c r="H149" t="s">
        <v>5</v>
      </c>
      <c r="I149" t="s">
        <v>9</v>
      </c>
      <c r="J149" t="s">
        <v>13</v>
      </c>
    </row>
    <row r="150" spans="1:10" x14ac:dyDescent="0.2">
      <c r="A150" t="s">
        <v>995</v>
      </c>
      <c r="B150">
        <v>0.45200000000000001</v>
      </c>
      <c r="C150">
        <f t="shared" si="4"/>
        <v>0.63635416972508707</v>
      </c>
      <c r="D150">
        <f t="shared" si="5"/>
        <v>1.7356951000375631E-3</v>
      </c>
      <c r="E150" t="s">
        <v>16</v>
      </c>
      <c r="F150" t="s">
        <v>689</v>
      </c>
      <c r="G150" t="s">
        <v>17</v>
      </c>
      <c r="H150" t="s">
        <v>5</v>
      </c>
      <c r="I150" t="s">
        <v>9</v>
      </c>
      <c r="J150" t="s">
        <v>13</v>
      </c>
    </row>
    <row r="151" spans="1:10" x14ac:dyDescent="0.2">
      <c r="A151" t="s">
        <v>1023</v>
      </c>
      <c r="B151">
        <v>1.732</v>
      </c>
      <c r="C151">
        <f t="shared" si="4"/>
        <v>0.17693019548249692</v>
      </c>
      <c r="D151">
        <f t="shared" si="5"/>
        <v>4.8258798002428073E-4</v>
      </c>
      <c r="E151" t="s">
        <v>25</v>
      </c>
      <c r="F151" t="s">
        <v>689</v>
      </c>
      <c r="G151" t="s">
        <v>17</v>
      </c>
      <c r="H151" t="s">
        <v>5</v>
      </c>
      <c r="I151" t="s">
        <v>9</v>
      </c>
      <c r="J151" t="s">
        <v>13</v>
      </c>
    </row>
    <row r="152" spans="1:10" x14ac:dyDescent="0.2">
      <c r="A152" t="s">
        <v>1082</v>
      </c>
      <c r="B152">
        <v>3.4409999999999998</v>
      </c>
      <c r="C152">
        <f t="shared" si="4"/>
        <v>3.20326366695328E-2</v>
      </c>
      <c r="D152">
        <f t="shared" si="5"/>
        <v>8.7370984828481689E-5</v>
      </c>
      <c r="E152" t="s">
        <v>19</v>
      </c>
      <c r="F152" t="s">
        <v>689</v>
      </c>
      <c r="G152" t="s">
        <v>17</v>
      </c>
      <c r="H152" t="s">
        <v>5</v>
      </c>
      <c r="I152" t="s">
        <v>9</v>
      </c>
      <c r="J152" t="s">
        <v>13</v>
      </c>
    </row>
    <row r="153" spans="1:10" x14ac:dyDescent="0.2">
      <c r="A153" t="s">
        <v>1105</v>
      </c>
      <c r="B153">
        <v>1.1040000000000001</v>
      </c>
      <c r="C153">
        <f t="shared" si="4"/>
        <v>0.3315422587848797</v>
      </c>
      <c r="D153">
        <f t="shared" si="5"/>
        <v>9.0430188314300766E-4</v>
      </c>
      <c r="E153" t="s">
        <v>20</v>
      </c>
      <c r="F153" t="s">
        <v>689</v>
      </c>
      <c r="G153" t="s">
        <v>17</v>
      </c>
      <c r="H153" t="s">
        <v>5</v>
      </c>
      <c r="I153" t="s">
        <v>9</v>
      </c>
      <c r="J153" t="s">
        <v>13</v>
      </c>
    </row>
    <row r="154" spans="1:10" x14ac:dyDescent="0.2">
      <c r="A154" t="s">
        <v>981</v>
      </c>
      <c r="B154">
        <v>0.377</v>
      </c>
      <c r="C154">
        <f t="shared" si="4"/>
        <v>0.68591607389602016</v>
      </c>
      <c r="D154">
        <f t="shared" si="5"/>
        <v>1.8708782390986041E-3</v>
      </c>
      <c r="E154" t="s">
        <v>15</v>
      </c>
      <c r="F154" t="s">
        <v>689</v>
      </c>
      <c r="G154" t="s">
        <v>20</v>
      </c>
      <c r="H154" t="s">
        <v>5</v>
      </c>
      <c r="I154" t="s">
        <v>9</v>
      </c>
      <c r="J154" t="s">
        <v>13</v>
      </c>
    </row>
    <row r="155" spans="1:10" x14ac:dyDescent="0.2">
      <c r="A155" t="s">
        <v>1083</v>
      </c>
      <c r="B155">
        <v>2.99</v>
      </c>
      <c r="C155">
        <f t="shared" si="4"/>
        <v>5.0287436723591865E-2</v>
      </c>
      <c r="D155">
        <f t="shared" si="5"/>
        <v>1.3716207368028252E-4</v>
      </c>
      <c r="E155" t="s">
        <v>19</v>
      </c>
      <c r="F155" t="s">
        <v>689</v>
      </c>
      <c r="G155" t="s">
        <v>20</v>
      </c>
      <c r="H155" t="s">
        <v>5</v>
      </c>
      <c r="I155" t="s">
        <v>9</v>
      </c>
      <c r="J155" t="s">
        <v>13</v>
      </c>
    </row>
    <row r="156" spans="1:10" x14ac:dyDescent="0.2">
      <c r="A156" t="s">
        <v>740</v>
      </c>
      <c r="B156">
        <v>3.3879999999999999</v>
      </c>
      <c r="C156">
        <f t="shared" si="4"/>
        <v>3.3776161715692733E-2</v>
      </c>
      <c r="D156">
        <f t="shared" si="5"/>
        <v>9.2126556526424559E-5</v>
      </c>
      <c r="E156" t="s">
        <v>0</v>
      </c>
      <c r="F156" t="s">
        <v>689</v>
      </c>
      <c r="G156" t="s">
        <v>1107</v>
      </c>
      <c r="H156" t="s">
        <v>5</v>
      </c>
      <c r="I156" t="s">
        <v>9</v>
      </c>
      <c r="J156" t="s">
        <v>13</v>
      </c>
    </row>
    <row r="157" spans="1:10" x14ac:dyDescent="0.2">
      <c r="A157" t="s">
        <v>762</v>
      </c>
      <c r="B157">
        <v>3.7650000000000001</v>
      </c>
      <c r="C157">
        <f t="shared" si="4"/>
        <v>2.3167612235305019E-2</v>
      </c>
      <c r="D157">
        <f t="shared" si="5"/>
        <v>6.31910859541649E-5</v>
      </c>
      <c r="E157" t="s">
        <v>8</v>
      </c>
      <c r="F157" t="s">
        <v>689</v>
      </c>
      <c r="G157" t="s">
        <v>1107</v>
      </c>
      <c r="H157" t="s">
        <v>5</v>
      </c>
      <c r="I157" t="s">
        <v>9</v>
      </c>
      <c r="J157" t="s">
        <v>13</v>
      </c>
    </row>
    <row r="158" spans="1:10" x14ac:dyDescent="0.2">
      <c r="A158" t="s">
        <v>775</v>
      </c>
      <c r="B158">
        <v>3.3879999999999999</v>
      </c>
      <c r="C158">
        <f t="shared" si="4"/>
        <v>3.3776161715692733E-2</v>
      </c>
      <c r="D158">
        <f t="shared" si="5"/>
        <v>9.2126556526424559E-5</v>
      </c>
      <c r="E158" t="s">
        <v>9</v>
      </c>
      <c r="F158" t="s">
        <v>689</v>
      </c>
      <c r="G158" t="s">
        <v>1107</v>
      </c>
      <c r="H158" t="s">
        <v>5</v>
      </c>
      <c r="I158" t="s">
        <v>9</v>
      </c>
      <c r="J158" t="s">
        <v>13</v>
      </c>
    </row>
    <row r="159" spans="1:10" x14ac:dyDescent="0.2">
      <c r="A159" t="s">
        <v>805</v>
      </c>
      <c r="B159">
        <v>5.032</v>
      </c>
      <c r="C159">
        <f t="shared" si="4"/>
        <v>6.5257460183150515E-3</v>
      </c>
      <c r="D159">
        <f t="shared" si="5"/>
        <v>1.7799373253061814E-5</v>
      </c>
      <c r="E159" t="s">
        <v>26</v>
      </c>
      <c r="F159" t="s">
        <v>689</v>
      </c>
      <c r="G159" t="s">
        <v>1107</v>
      </c>
      <c r="H159" t="s">
        <v>5</v>
      </c>
      <c r="I159" t="s">
        <v>9</v>
      </c>
      <c r="J159" t="s">
        <v>13</v>
      </c>
    </row>
    <row r="160" spans="1:10" x14ac:dyDescent="0.2">
      <c r="A160" t="s">
        <v>821</v>
      </c>
      <c r="B160">
        <v>3.6509999999999998</v>
      </c>
      <c r="C160">
        <f t="shared" si="4"/>
        <v>2.5965150641210209E-2</v>
      </c>
      <c r="D160">
        <f t="shared" si="5"/>
        <v>7.0821543856867478E-5</v>
      </c>
      <c r="E160" t="s">
        <v>24</v>
      </c>
      <c r="F160" t="s">
        <v>689</v>
      </c>
      <c r="G160" t="s">
        <v>1107</v>
      </c>
      <c r="H160" t="s">
        <v>5</v>
      </c>
      <c r="I160" t="s">
        <v>9</v>
      </c>
      <c r="J160" t="s">
        <v>13</v>
      </c>
    </row>
    <row r="161" spans="1:10" x14ac:dyDescent="0.2">
      <c r="A161" t="s">
        <v>844</v>
      </c>
      <c r="B161">
        <v>4.0789999999999997</v>
      </c>
      <c r="C161">
        <f t="shared" si="4"/>
        <v>1.6924381574909431E-2</v>
      </c>
      <c r="D161">
        <f t="shared" si="5"/>
        <v>4.6162290699575248E-5</v>
      </c>
      <c r="E161" t="s">
        <v>23</v>
      </c>
      <c r="F161" t="s">
        <v>689</v>
      </c>
      <c r="G161" t="s">
        <v>1107</v>
      </c>
      <c r="H161" t="s">
        <v>5</v>
      </c>
      <c r="I161" t="s">
        <v>9</v>
      </c>
      <c r="J161" t="s">
        <v>13</v>
      </c>
    </row>
    <row r="162" spans="1:10" x14ac:dyDescent="0.2">
      <c r="A162" t="s">
        <v>857</v>
      </c>
      <c r="B162">
        <v>3.3879999999999999</v>
      </c>
      <c r="C162">
        <f t="shared" si="4"/>
        <v>3.3776161715692733E-2</v>
      </c>
      <c r="D162">
        <f t="shared" si="5"/>
        <v>9.2126556526424559E-5</v>
      </c>
      <c r="E162" t="s">
        <v>10</v>
      </c>
      <c r="F162" t="s">
        <v>689</v>
      </c>
      <c r="G162" t="s">
        <v>1107</v>
      </c>
      <c r="H162" t="s">
        <v>5</v>
      </c>
      <c r="I162" t="s">
        <v>9</v>
      </c>
      <c r="J162" t="s">
        <v>13</v>
      </c>
    </row>
    <row r="163" spans="1:10" x14ac:dyDescent="0.2">
      <c r="A163" t="s">
        <v>879</v>
      </c>
      <c r="B163">
        <v>4.24</v>
      </c>
      <c r="C163">
        <f t="shared" si="4"/>
        <v>1.440759184311235E-2</v>
      </c>
      <c r="D163">
        <f t="shared" si="5"/>
        <v>3.9297592056691765E-5</v>
      </c>
      <c r="E163" t="s">
        <v>11</v>
      </c>
      <c r="F163" t="s">
        <v>689</v>
      </c>
      <c r="G163" t="s">
        <v>1107</v>
      </c>
      <c r="H163" t="s">
        <v>5</v>
      </c>
      <c r="I163" t="s">
        <v>9</v>
      </c>
      <c r="J163" t="s">
        <v>13</v>
      </c>
    </row>
    <row r="164" spans="1:10" x14ac:dyDescent="0.2">
      <c r="A164" t="s">
        <v>893</v>
      </c>
      <c r="B164">
        <v>3.3879999999999999</v>
      </c>
      <c r="C164">
        <f t="shared" si="4"/>
        <v>3.3776161715692733E-2</v>
      </c>
      <c r="D164">
        <f t="shared" si="5"/>
        <v>9.2126556526424559E-5</v>
      </c>
      <c r="E164" t="s">
        <v>12</v>
      </c>
      <c r="F164" t="s">
        <v>689</v>
      </c>
      <c r="G164" t="s">
        <v>1107</v>
      </c>
      <c r="H164" t="s">
        <v>5</v>
      </c>
      <c r="I164" t="s">
        <v>9</v>
      </c>
      <c r="J164" t="s">
        <v>13</v>
      </c>
    </row>
    <row r="165" spans="1:10" x14ac:dyDescent="0.2">
      <c r="A165" t="s">
        <v>900</v>
      </c>
      <c r="B165">
        <v>3.3879999999999999</v>
      </c>
      <c r="C165">
        <f t="shared" si="4"/>
        <v>3.3776161715692733E-2</v>
      </c>
      <c r="D165">
        <f t="shared" si="5"/>
        <v>9.2126556526424559E-5</v>
      </c>
      <c r="E165" t="s">
        <v>5</v>
      </c>
      <c r="F165" t="s">
        <v>689</v>
      </c>
      <c r="G165" t="s">
        <v>1107</v>
      </c>
      <c r="H165" t="s">
        <v>5</v>
      </c>
      <c r="I165" t="s">
        <v>9</v>
      </c>
      <c r="J165" t="s">
        <v>13</v>
      </c>
    </row>
    <row r="166" spans="1:10" x14ac:dyDescent="0.2">
      <c r="A166" t="s">
        <v>913</v>
      </c>
      <c r="B166">
        <v>3.3879999999999999</v>
      </c>
      <c r="C166">
        <f t="shared" si="4"/>
        <v>3.3776161715692733E-2</v>
      </c>
      <c r="D166">
        <f t="shared" si="5"/>
        <v>9.2126556526424559E-5</v>
      </c>
      <c r="E166" t="s">
        <v>22</v>
      </c>
      <c r="F166" t="s">
        <v>689</v>
      </c>
      <c r="G166" t="s">
        <v>1107</v>
      </c>
      <c r="H166" t="s">
        <v>5</v>
      </c>
      <c r="I166" t="s">
        <v>9</v>
      </c>
      <c r="J166" t="s">
        <v>13</v>
      </c>
    </row>
    <row r="167" spans="1:10" x14ac:dyDescent="0.2">
      <c r="A167" t="s">
        <v>930</v>
      </c>
      <c r="B167">
        <v>3.3879999999999999</v>
      </c>
      <c r="C167">
        <f t="shared" si="4"/>
        <v>3.3776161715692733E-2</v>
      </c>
      <c r="D167">
        <f t="shared" si="5"/>
        <v>9.2126556526424559E-5</v>
      </c>
      <c r="E167" t="s">
        <v>13</v>
      </c>
      <c r="F167" t="s">
        <v>689</v>
      </c>
      <c r="G167" t="s">
        <v>1107</v>
      </c>
      <c r="H167" t="s">
        <v>5</v>
      </c>
      <c r="I167" t="s">
        <v>9</v>
      </c>
      <c r="J167" t="s">
        <v>13</v>
      </c>
    </row>
    <row r="168" spans="1:10" x14ac:dyDescent="0.2">
      <c r="A168" t="s">
        <v>945</v>
      </c>
      <c r="B168">
        <v>3.3879999999999999</v>
      </c>
      <c r="C168">
        <f t="shared" si="4"/>
        <v>3.3776161715692733E-2</v>
      </c>
      <c r="D168">
        <f t="shared" si="5"/>
        <v>9.2126556526424559E-5</v>
      </c>
      <c r="E168" t="s">
        <v>2</v>
      </c>
      <c r="F168" t="s">
        <v>689</v>
      </c>
      <c r="G168" t="s">
        <v>1107</v>
      </c>
      <c r="H168" t="s">
        <v>5</v>
      </c>
      <c r="I168" t="s">
        <v>9</v>
      </c>
      <c r="J168" t="s">
        <v>13</v>
      </c>
    </row>
    <row r="169" spans="1:10" x14ac:dyDescent="0.2">
      <c r="A169" t="s">
        <v>952</v>
      </c>
      <c r="B169">
        <v>3.3879999999999999</v>
      </c>
      <c r="C169">
        <f t="shared" si="4"/>
        <v>3.3776161715692733E-2</v>
      </c>
      <c r="D169">
        <f t="shared" si="5"/>
        <v>9.2126556526424559E-5</v>
      </c>
      <c r="E169" t="s">
        <v>14</v>
      </c>
      <c r="F169" t="s">
        <v>689</v>
      </c>
      <c r="G169" t="s">
        <v>1107</v>
      </c>
      <c r="H169" t="s">
        <v>5</v>
      </c>
      <c r="I169" t="s">
        <v>9</v>
      </c>
      <c r="J169" t="s">
        <v>13</v>
      </c>
    </row>
    <row r="170" spans="1:10" x14ac:dyDescent="0.2">
      <c r="A170" t="s">
        <v>963</v>
      </c>
      <c r="B170">
        <v>3.3879999999999999</v>
      </c>
      <c r="C170">
        <f t="shared" si="4"/>
        <v>3.3776161715692733E-2</v>
      </c>
      <c r="D170">
        <f t="shared" si="5"/>
        <v>9.2126556526424559E-5</v>
      </c>
      <c r="E170" t="s">
        <v>1</v>
      </c>
      <c r="F170" t="s">
        <v>689</v>
      </c>
      <c r="G170" t="s">
        <v>1107</v>
      </c>
      <c r="H170" t="s">
        <v>5</v>
      </c>
      <c r="I170" t="s">
        <v>9</v>
      </c>
      <c r="J170" t="s">
        <v>13</v>
      </c>
    </row>
    <row r="171" spans="1:10" x14ac:dyDescent="0.2">
      <c r="A171" t="s">
        <v>982</v>
      </c>
      <c r="B171">
        <v>3.7650000000000001</v>
      </c>
      <c r="C171">
        <f t="shared" si="4"/>
        <v>2.3167612235305019E-2</v>
      </c>
      <c r="D171">
        <f t="shared" si="5"/>
        <v>6.31910859541649E-5</v>
      </c>
      <c r="E171" t="s">
        <v>15</v>
      </c>
      <c r="F171" t="s">
        <v>689</v>
      </c>
      <c r="G171" t="s">
        <v>1107</v>
      </c>
      <c r="H171" t="s">
        <v>5</v>
      </c>
      <c r="I171" t="s">
        <v>9</v>
      </c>
      <c r="J171" t="s">
        <v>13</v>
      </c>
    </row>
    <row r="172" spans="1:10" x14ac:dyDescent="0.2">
      <c r="A172" t="s">
        <v>996</v>
      </c>
      <c r="B172">
        <v>3.3879999999999999</v>
      </c>
      <c r="C172">
        <f t="shared" si="4"/>
        <v>3.3776161715692733E-2</v>
      </c>
      <c r="D172">
        <f t="shared" si="5"/>
        <v>9.2126556526424559E-5</v>
      </c>
      <c r="E172" t="s">
        <v>16</v>
      </c>
      <c r="F172" t="s">
        <v>689</v>
      </c>
      <c r="G172" t="s">
        <v>1107</v>
      </c>
      <c r="H172" t="s">
        <v>5</v>
      </c>
      <c r="I172" t="s">
        <v>9</v>
      </c>
      <c r="J172" t="s">
        <v>13</v>
      </c>
    </row>
    <row r="173" spans="1:10" x14ac:dyDescent="0.2">
      <c r="A173" t="s">
        <v>1024</v>
      </c>
      <c r="B173">
        <v>4.6680000000000001</v>
      </c>
      <c r="C173">
        <f t="shared" si="4"/>
        <v>9.3910328231017314E-3</v>
      </c>
      <c r="D173">
        <f t="shared" si="5"/>
        <v>2.5614619076655674E-5</v>
      </c>
      <c r="E173" t="s">
        <v>25</v>
      </c>
      <c r="F173" t="s">
        <v>689</v>
      </c>
      <c r="G173" t="s">
        <v>1107</v>
      </c>
      <c r="H173" t="s">
        <v>5</v>
      </c>
      <c r="I173" t="s">
        <v>9</v>
      </c>
      <c r="J173" t="s">
        <v>13</v>
      </c>
    </row>
    <row r="174" spans="1:10" x14ac:dyDescent="0.2">
      <c r="A174" t="s">
        <v>1043</v>
      </c>
      <c r="B174">
        <v>3.839</v>
      </c>
      <c r="C174">
        <f t="shared" si="4"/>
        <v>2.1515105696818845E-2</v>
      </c>
      <c r="D174">
        <f t="shared" si="5"/>
        <v>5.8683772828724695E-5</v>
      </c>
      <c r="E174" t="s">
        <v>17</v>
      </c>
      <c r="F174" t="s">
        <v>689</v>
      </c>
      <c r="G174" t="s">
        <v>1107</v>
      </c>
      <c r="H174" t="s">
        <v>5</v>
      </c>
      <c r="I174" t="s">
        <v>9</v>
      </c>
      <c r="J174" t="s">
        <v>13</v>
      </c>
    </row>
    <row r="175" spans="1:10" x14ac:dyDescent="0.2">
      <c r="A175" t="s">
        <v>1053</v>
      </c>
      <c r="B175">
        <v>3.3879999999999999</v>
      </c>
      <c r="C175">
        <f t="shared" si="4"/>
        <v>3.3776161715692733E-2</v>
      </c>
      <c r="D175">
        <f t="shared" si="5"/>
        <v>9.2126556526424559E-5</v>
      </c>
      <c r="E175" t="s">
        <v>18</v>
      </c>
      <c r="F175" t="s">
        <v>689</v>
      </c>
      <c r="G175" t="s">
        <v>1107</v>
      </c>
      <c r="H175" t="s">
        <v>5</v>
      </c>
      <c r="I175" t="s">
        <v>9</v>
      </c>
      <c r="J175" t="s">
        <v>13</v>
      </c>
    </row>
    <row r="176" spans="1:10" x14ac:dyDescent="0.2">
      <c r="A176" t="s">
        <v>1084</v>
      </c>
      <c r="B176">
        <v>6.3780000000000001</v>
      </c>
      <c r="C176">
        <f t="shared" si="4"/>
        <v>1.6985165950437044E-3</v>
      </c>
      <c r="D176">
        <f t="shared" si="5"/>
        <v>4.6328083818849848E-6</v>
      </c>
      <c r="E176" t="s">
        <v>19</v>
      </c>
      <c r="F176" t="s">
        <v>689</v>
      </c>
      <c r="G176" t="s">
        <v>1107</v>
      </c>
      <c r="H176" t="s">
        <v>5</v>
      </c>
      <c r="I176" t="s">
        <v>9</v>
      </c>
      <c r="J176" t="s">
        <v>13</v>
      </c>
    </row>
    <row r="177" spans="1:10" x14ac:dyDescent="0.2">
      <c r="A177" t="s">
        <v>1106</v>
      </c>
      <c r="B177">
        <v>4.0410000000000004</v>
      </c>
      <c r="C177">
        <f t="shared" si="4"/>
        <v>1.7579883739011794E-2</v>
      </c>
      <c r="D177">
        <f t="shared" si="5"/>
        <v>4.7950213130865373E-5</v>
      </c>
      <c r="E177" t="s">
        <v>20</v>
      </c>
      <c r="F177" t="s">
        <v>689</v>
      </c>
      <c r="G177" t="s">
        <v>1107</v>
      </c>
      <c r="H177" t="s">
        <v>5</v>
      </c>
      <c r="I177" t="s">
        <v>9</v>
      </c>
      <c r="J177" t="s">
        <v>13</v>
      </c>
    </row>
    <row r="178" spans="1:10" x14ac:dyDescent="0.2">
      <c r="A178" t="s">
        <v>49</v>
      </c>
      <c r="B178">
        <v>0.377</v>
      </c>
      <c r="C178">
        <f t="shared" si="4"/>
        <v>0.68591607389602016</v>
      </c>
      <c r="D178">
        <f t="shared" si="5"/>
        <v>1.8708782390986041E-3</v>
      </c>
      <c r="E178" t="s">
        <v>0</v>
      </c>
      <c r="F178" t="s">
        <v>689</v>
      </c>
      <c r="G178" t="s">
        <v>8</v>
      </c>
      <c r="H178" t="s">
        <v>5</v>
      </c>
      <c r="I178" t="s">
        <v>16</v>
      </c>
      <c r="J178" t="s">
        <v>19</v>
      </c>
    </row>
    <row r="179" spans="1:10" x14ac:dyDescent="0.2">
      <c r="A179" t="s">
        <v>61</v>
      </c>
      <c r="B179">
        <v>0.754</v>
      </c>
      <c r="C179">
        <f t="shared" si="4"/>
        <v>0.47048086042893056</v>
      </c>
      <c r="D179">
        <f t="shared" si="5"/>
        <v>1.2832654565000142E-3</v>
      </c>
      <c r="E179" t="s">
        <v>8</v>
      </c>
      <c r="F179" t="s">
        <v>689</v>
      </c>
      <c r="G179" t="s">
        <v>8</v>
      </c>
      <c r="H179" t="s">
        <v>5</v>
      </c>
      <c r="I179" t="s">
        <v>16</v>
      </c>
      <c r="J179" t="s">
        <v>19</v>
      </c>
    </row>
    <row r="180" spans="1:10" x14ac:dyDescent="0.2">
      <c r="A180" t="s">
        <v>78</v>
      </c>
      <c r="B180">
        <v>0.377</v>
      </c>
      <c r="C180">
        <f t="shared" si="4"/>
        <v>0.68591607389602016</v>
      </c>
      <c r="D180">
        <f t="shared" si="5"/>
        <v>1.8708782390986041E-3</v>
      </c>
      <c r="E180" t="s">
        <v>9</v>
      </c>
      <c r="F180" t="s">
        <v>689</v>
      </c>
      <c r="G180" t="s">
        <v>8</v>
      </c>
      <c r="H180" t="s">
        <v>5</v>
      </c>
      <c r="I180" t="s">
        <v>16</v>
      </c>
      <c r="J180" t="s">
        <v>19</v>
      </c>
    </row>
    <row r="181" spans="1:10" x14ac:dyDescent="0.2">
      <c r="A181" t="s">
        <v>151</v>
      </c>
      <c r="B181">
        <v>0.377</v>
      </c>
      <c r="C181">
        <f t="shared" si="4"/>
        <v>0.68591607389602016</v>
      </c>
      <c r="D181">
        <f t="shared" si="5"/>
        <v>1.8708782390986041E-3</v>
      </c>
      <c r="E181" t="s">
        <v>12</v>
      </c>
      <c r="F181" t="s">
        <v>689</v>
      </c>
      <c r="G181" t="s">
        <v>8</v>
      </c>
      <c r="H181" t="s">
        <v>5</v>
      </c>
      <c r="I181" t="s">
        <v>16</v>
      </c>
      <c r="J181" t="s">
        <v>19</v>
      </c>
    </row>
    <row r="182" spans="1:10" x14ac:dyDescent="0.2">
      <c r="A182" t="s">
        <v>172</v>
      </c>
      <c r="B182">
        <v>0.377</v>
      </c>
      <c r="C182">
        <f t="shared" si="4"/>
        <v>0.68591607389602016</v>
      </c>
      <c r="D182">
        <f t="shared" si="5"/>
        <v>1.8708782390986041E-3</v>
      </c>
      <c r="E182" t="s">
        <v>5</v>
      </c>
      <c r="F182" t="s">
        <v>689</v>
      </c>
      <c r="G182" t="s">
        <v>8</v>
      </c>
      <c r="H182" t="s">
        <v>5</v>
      </c>
      <c r="I182" t="s">
        <v>16</v>
      </c>
      <c r="J182" t="s">
        <v>19</v>
      </c>
    </row>
    <row r="183" spans="1:10" x14ac:dyDescent="0.2">
      <c r="A183" t="s">
        <v>196</v>
      </c>
      <c r="B183">
        <v>0.377</v>
      </c>
      <c r="C183">
        <f t="shared" si="4"/>
        <v>0.68591607389602016</v>
      </c>
      <c r="D183">
        <f t="shared" si="5"/>
        <v>1.8708782390986041E-3</v>
      </c>
      <c r="E183" t="s">
        <v>22</v>
      </c>
      <c r="F183" t="s">
        <v>689</v>
      </c>
      <c r="G183" t="s">
        <v>8</v>
      </c>
      <c r="H183" t="s">
        <v>5</v>
      </c>
      <c r="I183" t="s">
        <v>16</v>
      </c>
      <c r="J183" t="s">
        <v>19</v>
      </c>
    </row>
    <row r="184" spans="1:10" x14ac:dyDescent="0.2">
      <c r="A184" t="s">
        <v>226</v>
      </c>
      <c r="B184">
        <v>0.377</v>
      </c>
      <c r="C184">
        <f t="shared" si="4"/>
        <v>0.68591607389602016</v>
      </c>
      <c r="D184">
        <f t="shared" si="5"/>
        <v>1.8708782390986041E-3</v>
      </c>
      <c r="E184" t="s">
        <v>2</v>
      </c>
      <c r="F184" t="s">
        <v>689</v>
      </c>
      <c r="G184" t="s">
        <v>8</v>
      </c>
      <c r="H184" t="s">
        <v>5</v>
      </c>
      <c r="I184" t="s">
        <v>16</v>
      </c>
      <c r="J184" t="s">
        <v>19</v>
      </c>
    </row>
    <row r="185" spans="1:10" x14ac:dyDescent="0.2">
      <c r="A185" t="s">
        <v>250</v>
      </c>
      <c r="B185">
        <v>0.377</v>
      </c>
      <c r="C185">
        <f t="shared" si="4"/>
        <v>0.68591607389602016</v>
      </c>
      <c r="D185">
        <f t="shared" si="5"/>
        <v>1.8708782390986041E-3</v>
      </c>
      <c r="E185" t="s">
        <v>14</v>
      </c>
      <c r="F185" t="s">
        <v>689</v>
      </c>
      <c r="G185" t="s">
        <v>8</v>
      </c>
      <c r="H185" t="s">
        <v>5</v>
      </c>
      <c r="I185" t="s">
        <v>16</v>
      </c>
      <c r="J185" t="s">
        <v>19</v>
      </c>
    </row>
    <row r="186" spans="1:10" x14ac:dyDescent="0.2">
      <c r="A186" t="s">
        <v>303</v>
      </c>
      <c r="B186">
        <v>0.377</v>
      </c>
      <c r="C186">
        <f t="shared" si="4"/>
        <v>0.68591607389602016</v>
      </c>
      <c r="D186">
        <f t="shared" si="5"/>
        <v>1.8708782390986041E-3</v>
      </c>
      <c r="E186" t="s">
        <v>16</v>
      </c>
      <c r="F186" t="s">
        <v>689</v>
      </c>
      <c r="G186" t="s">
        <v>8</v>
      </c>
      <c r="H186" t="s">
        <v>5</v>
      </c>
      <c r="I186" t="s">
        <v>16</v>
      </c>
      <c r="J186" t="s">
        <v>19</v>
      </c>
    </row>
    <row r="187" spans="1:10" x14ac:dyDescent="0.2">
      <c r="A187" t="s">
        <v>323</v>
      </c>
      <c r="B187">
        <v>0.82899999999999996</v>
      </c>
      <c r="C187">
        <f t="shared" si="4"/>
        <v>0.43648555370519337</v>
      </c>
      <c r="D187">
        <f t="shared" si="5"/>
        <v>1.1905411684983251E-3</v>
      </c>
      <c r="E187" t="s">
        <v>17</v>
      </c>
      <c r="F187" t="s">
        <v>689</v>
      </c>
      <c r="G187" t="s">
        <v>8</v>
      </c>
      <c r="H187" t="s">
        <v>5</v>
      </c>
      <c r="I187" t="s">
        <v>16</v>
      </c>
      <c r="J187" t="s">
        <v>19</v>
      </c>
    </row>
    <row r="188" spans="1:10" x14ac:dyDescent="0.2">
      <c r="A188" t="s">
        <v>342</v>
      </c>
      <c r="B188">
        <v>0.377</v>
      </c>
      <c r="C188">
        <f t="shared" si="4"/>
        <v>0.68591607389602016</v>
      </c>
      <c r="D188">
        <f t="shared" si="5"/>
        <v>1.8708782390986041E-3</v>
      </c>
      <c r="E188" t="s">
        <v>18</v>
      </c>
      <c r="F188" t="s">
        <v>689</v>
      </c>
      <c r="G188" t="s">
        <v>8</v>
      </c>
      <c r="H188" t="s">
        <v>5</v>
      </c>
      <c r="I188" t="s">
        <v>16</v>
      </c>
      <c r="J188" t="s">
        <v>19</v>
      </c>
    </row>
    <row r="189" spans="1:10" x14ac:dyDescent="0.2">
      <c r="A189" t="s">
        <v>51</v>
      </c>
      <c r="B189">
        <v>0.26300000000000001</v>
      </c>
      <c r="C189">
        <f t="shared" si="4"/>
        <v>0.76874189731116027</v>
      </c>
      <c r="D189">
        <f t="shared" si="5"/>
        <v>2.0967907618692828E-3</v>
      </c>
      <c r="E189" t="s">
        <v>0</v>
      </c>
      <c r="F189" t="s">
        <v>689</v>
      </c>
      <c r="G189" t="s">
        <v>24</v>
      </c>
      <c r="H189" t="s">
        <v>5</v>
      </c>
      <c r="I189" t="s">
        <v>16</v>
      </c>
      <c r="J189" t="s">
        <v>19</v>
      </c>
    </row>
    <row r="190" spans="1:10" x14ac:dyDescent="0.2">
      <c r="A190" t="s">
        <v>62</v>
      </c>
      <c r="B190">
        <v>0.64</v>
      </c>
      <c r="C190">
        <f t="shared" si="4"/>
        <v>0.52729242404304855</v>
      </c>
      <c r="D190">
        <f t="shared" si="5"/>
        <v>1.4382224871628236E-3</v>
      </c>
      <c r="E190" t="s">
        <v>8</v>
      </c>
      <c r="F190" t="s">
        <v>689</v>
      </c>
      <c r="G190" t="s">
        <v>24</v>
      </c>
      <c r="H190" t="s">
        <v>5</v>
      </c>
      <c r="I190" t="s">
        <v>16</v>
      </c>
      <c r="J190" t="s">
        <v>19</v>
      </c>
    </row>
    <row r="191" spans="1:10" x14ac:dyDescent="0.2">
      <c r="A191" t="s">
        <v>97</v>
      </c>
      <c r="B191">
        <v>0.52600000000000002</v>
      </c>
      <c r="C191">
        <f t="shared" si="4"/>
        <v>0.59096410468156257</v>
      </c>
      <c r="D191">
        <f t="shared" si="5"/>
        <v>1.6118909085439061E-3</v>
      </c>
      <c r="E191" t="s">
        <v>24</v>
      </c>
      <c r="F191" t="s">
        <v>689</v>
      </c>
      <c r="G191" t="s">
        <v>24</v>
      </c>
      <c r="H191" t="s">
        <v>5</v>
      </c>
      <c r="I191" t="s">
        <v>16</v>
      </c>
      <c r="J191" t="s">
        <v>19</v>
      </c>
    </row>
    <row r="192" spans="1:10" x14ac:dyDescent="0.2">
      <c r="A192" t="s">
        <v>153</v>
      </c>
      <c r="B192">
        <v>0.26300000000000001</v>
      </c>
      <c r="C192">
        <f t="shared" si="4"/>
        <v>0.76874189731116027</v>
      </c>
      <c r="D192">
        <f t="shared" si="5"/>
        <v>2.0967907618692828E-3</v>
      </c>
      <c r="E192" t="s">
        <v>12</v>
      </c>
      <c r="F192" t="s">
        <v>689</v>
      </c>
      <c r="G192" t="s">
        <v>24</v>
      </c>
      <c r="H192" t="s">
        <v>5</v>
      </c>
      <c r="I192" t="s">
        <v>16</v>
      </c>
      <c r="J192" t="s">
        <v>19</v>
      </c>
    </row>
    <row r="193" spans="1:10" x14ac:dyDescent="0.2">
      <c r="A193" t="s">
        <v>174</v>
      </c>
      <c r="B193">
        <v>0.26300000000000001</v>
      </c>
      <c r="C193">
        <f t="shared" si="4"/>
        <v>0.76874189731116027</v>
      </c>
      <c r="D193">
        <f t="shared" si="5"/>
        <v>2.0967907618692828E-3</v>
      </c>
      <c r="E193" t="s">
        <v>5</v>
      </c>
      <c r="F193" t="s">
        <v>689</v>
      </c>
      <c r="G193" t="s">
        <v>24</v>
      </c>
      <c r="H193" t="s">
        <v>5</v>
      </c>
      <c r="I193" t="s">
        <v>16</v>
      </c>
      <c r="J193" t="s">
        <v>19</v>
      </c>
    </row>
    <row r="194" spans="1:10" x14ac:dyDescent="0.2">
      <c r="A194" t="s">
        <v>213</v>
      </c>
      <c r="B194">
        <v>0.26300000000000001</v>
      </c>
      <c r="C194">
        <f t="shared" si="4"/>
        <v>0.76874189731116027</v>
      </c>
      <c r="D194">
        <f t="shared" si="5"/>
        <v>2.0967907618692828E-3</v>
      </c>
      <c r="E194" t="s">
        <v>13</v>
      </c>
      <c r="F194" t="s">
        <v>689</v>
      </c>
      <c r="G194" t="s">
        <v>24</v>
      </c>
      <c r="H194" t="s">
        <v>5</v>
      </c>
      <c r="I194" t="s">
        <v>16</v>
      </c>
      <c r="J194" t="s">
        <v>19</v>
      </c>
    </row>
    <row r="195" spans="1:10" x14ac:dyDescent="0.2">
      <c r="A195" t="s">
        <v>252</v>
      </c>
      <c r="B195">
        <v>0.26300000000000001</v>
      </c>
      <c r="C195">
        <f t="shared" ref="C195:C258" si="6">EXP(-B195)</f>
        <v>0.76874189731116027</v>
      </c>
      <c r="D195">
        <f t="shared" ref="D195:D258" si="7">C195/366.627854</f>
        <v>2.0967907618692828E-3</v>
      </c>
      <c r="E195" t="s">
        <v>14</v>
      </c>
      <c r="F195" t="s">
        <v>689</v>
      </c>
      <c r="G195" t="s">
        <v>24</v>
      </c>
      <c r="H195" t="s">
        <v>5</v>
      </c>
      <c r="I195" t="s">
        <v>16</v>
      </c>
      <c r="J195" t="s">
        <v>19</v>
      </c>
    </row>
    <row r="196" spans="1:10" x14ac:dyDescent="0.2">
      <c r="A196" t="s">
        <v>273</v>
      </c>
      <c r="B196">
        <v>0.26300000000000001</v>
      </c>
      <c r="C196">
        <f t="shared" si="6"/>
        <v>0.76874189731116027</v>
      </c>
      <c r="D196">
        <f t="shared" si="7"/>
        <v>2.0967907618692828E-3</v>
      </c>
      <c r="E196" t="s">
        <v>1</v>
      </c>
      <c r="F196" t="s">
        <v>689</v>
      </c>
      <c r="G196" t="s">
        <v>24</v>
      </c>
      <c r="H196" t="s">
        <v>5</v>
      </c>
      <c r="I196" t="s">
        <v>16</v>
      </c>
      <c r="J196" t="s">
        <v>19</v>
      </c>
    </row>
    <row r="197" spans="1:10" x14ac:dyDescent="0.2">
      <c r="A197" t="s">
        <v>287</v>
      </c>
      <c r="B197">
        <v>0.64</v>
      </c>
      <c r="C197">
        <f t="shared" si="6"/>
        <v>0.52729242404304855</v>
      </c>
      <c r="D197">
        <f t="shared" si="7"/>
        <v>1.4382224871628236E-3</v>
      </c>
      <c r="E197" t="s">
        <v>15</v>
      </c>
      <c r="F197" t="s">
        <v>689</v>
      </c>
      <c r="G197" t="s">
        <v>24</v>
      </c>
      <c r="H197" t="s">
        <v>5</v>
      </c>
      <c r="I197" t="s">
        <v>16</v>
      </c>
      <c r="J197" t="s">
        <v>19</v>
      </c>
    </row>
    <row r="198" spans="1:10" x14ac:dyDescent="0.2">
      <c r="A198" t="s">
        <v>315</v>
      </c>
      <c r="B198">
        <v>1.5429999999999999</v>
      </c>
      <c r="C198">
        <f t="shared" si="6"/>
        <v>0.21373892187366161</v>
      </c>
      <c r="D198">
        <f t="shared" si="7"/>
        <v>5.829860430453318E-4</v>
      </c>
      <c r="E198" t="s">
        <v>25</v>
      </c>
      <c r="F198" t="s">
        <v>689</v>
      </c>
      <c r="G198" t="s">
        <v>24</v>
      </c>
      <c r="H198" t="s">
        <v>5</v>
      </c>
      <c r="I198" t="s">
        <v>16</v>
      </c>
      <c r="J198" t="s">
        <v>19</v>
      </c>
    </row>
    <row r="199" spans="1:10" x14ac:dyDescent="0.2">
      <c r="A199" t="s">
        <v>52</v>
      </c>
      <c r="B199">
        <v>0</v>
      </c>
      <c r="C199">
        <f t="shared" si="6"/>
        <v>1</v>
      </c>
      <c r="D199">
        <f t="shared" si="7"/>
        <v>2.7275614470907055E-3</v>
      </c>
      <c r="E199" t="s">
        <v>0</v>
      </c>
      <c r="F199" t="s">
        <v>689</v>
      </c>
      <c r="G199" t="s">
        <v>12</v>
      </c>
      <c r="H199" t="s">
        <v>5</v>
      </c>
      <c r="I199" t="s">
        <v>16</v>
      </c>
      <c r="J199" t="s">
        <v>19</v>
      </c>
    </row>
    <row r="200" spans="1:10" x14ac:dyDescent="0.2">
      <c r="A200" t="s">
        <v>63</v>
      </c>
      <c r="B200">
        <v>0.377</v>
      </c>
      <c r="C200">
        <f t="shared" si="6"/>
        <v>0.68591607389602016</v>
      </c>
      <c r="D200">
        <f t="shared" si="7"/>
        <v>1.8708782390986041E-3</v>
      </c>
      <c r="E200" t="s">
        <v>8</v>
      </c>
      <c r="F200" t="s">
        <v>689</v>
      </c>
      <c r="G200" t="s">
        <v>12</v>
      </c>
      <c r="H200" t="s">
        <v>5</v>
      </c>
      <c r="I200" t="s">
        <v>16</v>
      </c>
      <c r="J200" t="s">
        <v>19</v>
      </c>
    </row>
    <row r="201" spans="1:10" x14ac:dyDescent="0.2">
      <c r="A201" t="s">
        <v>81</v>
      </c>
      <c r="B201">
        <v>0</v>
      </c>
      <c r="C201">
        <f t="shared" si="6"/>
        <v>1</v>
      </c>
      <c r="D201">
        <f t="shared" si="7"/>
        <v>2.7275614470907055E-3</v>
      </c>
      <c r="E201" t="s">
        <v>9</v>
      </c>
      <c r="F201" t="s">
        <v>689</v>
      </c>
      <c r="G201" t="s">
        <v>12</v>
      </c>
      <c r="H201" t="s">
        <v>5</v>
      </c>
      <c r="I201" t="s">
        <v>16</v>
      </c>
      <c r="J201" t="s">
        <v>19</v>
      </c>
    </row>
    <row r="202" spans="1:10" x14ac:dyDescent="0.2">
      <c r="A202" t="s">
        <v>100</v>
      </c>
      <c r="B202">
        <v>0.26300000000000001</v>
      </c>
      <c r="C202">
        <f t="shared" si="6"/>
        <v>0.76874189731116027</v>
      </c>
      <c r="D202">
        <f t="shared" si="7"/>
        <v>2.0967907618692828E-3</v>
      </c>
      <c r="E202" t="s">
        <v>24</v>
      </c>
      <c r="F202" t="s">
        <v>689</v>
      </c>
      <c r="G202" t="s">
        <v>12</v>
      </c>
      <c r="H202" t="s">
        <v>5</v>
      </c>
      <c r="I202" t="s">
        <v>16</v>
      </c>
      <c r="J202" t="s">
        <v>19</v>
      </c>
    </row>
    <row r="203" spans="1:10" x14ac:dyDescent="0.2">
      <c r="A203" t="s">
        <v>109</v>
      </c>
      <c r="B203">
        <v>0.69099999999999995</v>
      </c>
      <c r="C203">
        <f t="shared" si="6"/>
        <v>0.50107474370144889</v>
      </c>
      <c r="D203">
        <f t="shared" si="7"/>
        <v>1.3667121530309284E-3</v>
      </c>
      <c r="E203" t="s">
        <v>23</v>
      </c>
      <c r="F203" t="s">
        <v>689</v>
      </c>
      <c r="G203" t="s">
        <v>12</v>
      </c>
      <c r="H203" t="s">
        <v>5</v>
      </c>
      <c r="I203" t="s">
        <v>16</v>
      </c>
      <c r="J203" t="s">
        <v>19</v>
      </c>
    </row>
    <row r="204" spans="1:10" x14ac:dyDescent="0.2">
      <c r="A204" t="s">
        <v>124</v>
      </c>
      <c r="B204">
        <v>0</v>
      </c>
      <c r="C204">
        <f t="shared" si="6"/>
        <v>1</v>
      </c>
      <c r="D204">
        <f t="shared" si="7"/>
        <v>2.7275614470907055E-3</v>
      </c>
      <c r="E204" t="s">
        <v>10</v>
      </c>
      <c r="F204" t="s">
        <v>689</v>
      </c>
      <c r="G204" t="s">
        <v>12</v>
      </c>
      <c r="H204" t="s">
        <v>5</v>
      </c>
      <c r="I204" t="s">
        <v>16</v>
      </c>
      <c r="J204" t="s">
        <v>19</v>
      </c>
    </row>
    <row r="205" spans="1:10" x14ac:dyDescent="0.2">
      <c r="A205" t="s">
        <v>138</v>
      </c>
      <c r="B205">
        <v>0.85299999999999998</v>
      </c>
      <c r="C205">
        <f t="shared" si="6"/>
        <v>0.42613460859814872</v>
      </c>
      <c r="D205">
        <f t="shared" si="7"/>
        <v>1.1623083296833979E-3</v>
      </c>
      <c r="E205" t="s">
        <v>11</v>
      </c>
      <c r="F205" t="s">
        <v>689</v>
      </c>
      <c r="G205" t="s">
        <v>12</v>
      </c>
      <c r="H205" t="s">
        <v>5</v>
      </c>
      <c r="I205" t="s">
        <v>16</v>
      </c>
      <c r="J205" t="s">
        <v>19</v>
      </c>
    </row>
    <row r="206" spans="1:10" x14ac:dyDescent="0.2">
      <c r="A206" t="s">
        <v>177</v>
      </c>
      <c r="B206">
        <v>0</v>
      </c>
      <c r="C206">
        <f t="shared" si="6"/>
        <v>1</v>
      </c>
      <c r="D206">
        <f t="shared" si="7"/>
        <v>2.7275614470907055E-3</v>
      </c>
      <c r="E206" t="s">
        <v>5</v>
      </c>
      <c r="F206" t="s">
        <v>689</v>
      </c>
      <c r="G206" t="s">
        <v>12</v>
      </c>
      <c r="H206" t="s">
        <v>5</v>
      </c>
      <c r="I206" t="s">
        <v>16</v>
      </c>
      <c r="J206" t="s">
        <v>19</v>
      </c>
    </row>
    <row r="207" spans="1:10" x14ac:dyDescent="0.2">
      <c r="A207" t="s">
        <v>198</v>
      </c>
      <c r="B207">
        <v>0</v>
      </c>
      <c r="C207">
        <f t="shared" si="6"/>
        <v>1</v>
      </c>
      <c r="D207">
        <f t="shared" si="7"/>
        <v>2.7275614470907055E-3</v>
      </c>
      <c r="E207" t="s">
        <v>22</v>
      </c>
      <c r="F207" t="s">
        <v>689</v>
      </c>
      <c r="G207" t="s">
        <v>12</v>
      </c>
      <c r="H207" t="s">
        <v>5</v>
      </c>
      <c r="I207" t="s">
        <v>16</v>
      </c>
      <c r="J207" t="s">
        <v>19</v>
      </c>
    </row>
    <row r="208" spans="1:10" x14ac:dyDescent="0.2">
      <c r="A208" t="s">
        <v>229</v>
      </c>
      <c r="B208">
        <v>0</v>
      </c>
      <c r="C208">
        <f t="shared" si="6"/>
        <v>1</v>
      </c>
      <c r="D208">
        <f t="shared" si="7"/>
        <v>2.7275614470907055E-3</v>
      </c>
      <c r="E208" t="s">
        <v>2</v>
      </c>
      <c r="F208" t="s">
        <v>689</v>
      </c>
      <c r="G208" t="s">
        <v>12</v>
      </c>
      <c r="H208" t="s">
        <v>5</v>
      </c>
      <c r="I208" t="s">
        <v>16</v>
      </c>
      <c r="J208" t="s">
        <v>19</v>
      </c>
    </row>
    <row r="209" spans="1:10" x14ac:dyDescent="0.2">
      <c r="A209" t="s">
        <v>255</v>
      </c>
      <c r="B209">
        <v>0</v>
      </c>
      <c r="C209">
        <f t="shared" si="6"/>
        <v>1</v>
      </c>
      <c r="D209">
        <f t="shared" si="7"/>
        <v>2.7275614470907055E-3</v>
      </c>
      <c r="E209" t="s">
        <v>14</v>
      </c>
      <c r="F209" t="s">
        <v>689</v>
      </c>
      <c r="G209" t="s">
        <v>12</v>
      </c>
      <c r="H209" t="s">
        <v>5</v>
      </c>
      <c r="I209" t="s">
        <v>16</v>
      </c>
      <c r="J209" t="s">
        <v>19</v>
      </c>
    </row>
    <row r="210" spans="1:10" x14ac:dyDescent="0.2">
      <c r="A210" t="s">
        <v>276</v>
      </c>
      <c r="B210">
        <v>0</v>
      </c>
      <c r="C210">
        <f t="shared" si="6"/>
        <v>1</v>
      </c>
      <c r="D210">
        <f t="shared" si="7"/>
        <v>2.7275614470907055E-3</v>
      </c>
      <c r="E210" t="s">
        <v>1</v>
      </c>
      <c r="F210" t="s">
        <v>689</v>
      </c>
      <c r="G210" t="s">
        <v>12</v>
      </c>
      <c r="H210" t="s">
        <v>5</v>
      </c>
      <c r="I210" t="s">
        <v>16</v>
      </c>
      <c r="J210" t="s">
        <v>19</v>
      </c>
    </row>
    <row r="211" spans="1:10" x14ac:dyDescent="0.2">
      <c r="A211" t="s">
        <v>288</v>
      </c>
      <c r="B211">
        <v>0.377</v>
      </c>
      <c r="C211">
        <f t="shared" si="6"/>
        <v>0.68591607389602016</v>
      </c>
      <c r="D211">
        <f t="shared" si="7"/>
        <v>1.8708782390986041E-3</v>
      </c>
      <c r="E211" t="s">
        <v>15</v>
      </c>
      <c r="F211" t="s">
        <v>689</v>
      </c>
      <c r="G211" t="s">
        <v>12</v>
      </c>
      <c r="H211" t="s">
        <v>5</v>
      </c>
      <c r="I211" t="s">
        <v>16</v>
      </c>
      <c r="J211" t="s">
        <v>19</v>
      </c>
    </row>
    <row r="212" spans="1:10" x14ac:dyDescent="0.2">
      <c r="A212" t="s">
        <v>307</v>
      </c>
      <c r="B212">
        <v>0</v>
      </c>
      <c r="C212">
        <f t="shared" si="6"/>
        <v>1</v>
      </c>
      <c r="D212">
        <f t="shared" si="7"/>
        <v>2.7275614470907055E-3</v>
      </c>
      <c r="E212" t="s">
        <v>16</v>
      </c>
      <c r="F212" t="s">
        <v>689</v>
      </c>
      <c r="G212" t="s">
        <v>12</v>
      </c>
      <c r="H212" t="s">
        <v>5</v>
      </c>
      <c r="I212" t="s">
        <v>16</v>
      </c>
      <c r="J212" t="s">
        <v>19</v>
      </c>
    </row>
    <row r="213" spans="1:10" x14ac:dyDescent="0.2">
      <c r="A213" t="s">
        <v>345</v>
      </c>
      <c r="B213">
        <v>0</v>
      </c>
      <c r="C213">
        <f t="shared" si="6"/>
        <v>1</v>
      </c>
      <c r="D213">
        <f t="shared" si="7"/>
        <v>2.7275614470907055E-3</v>
      </c>
      <c r="E213" t="s">
        <v>18</v>
      </c>
      <c r="F213" t="s">
        <v>689</v>
      </c>
      <c r="G213" t="s">
        <v>12</v>
      </c>
      <c r="H213" t="s">
        <v>5</v>
      </c>
      <c r="I213" t="s">
        <v>16</v>
      </c>
      <c r="J213" t="s">
        <v>19</v>
      </c>
    </row>
    <row r="214" spans="1:10" x14ac:dyDescent="0.2">
      <c r="A214" t="s">
        <v>361</v>
      </c>
      <c r="B214">
        <v>0.65300000000000002</v>
      </c>
      <c r="C214">
        <f t="shared" si="6"/>
        <v>0.52048198628928322</v>
      </c>
      <c r="D214">
        <f t="shared" si="7"/>
        <v>1.4196465997078421E-3</v>
      </c>
      <c r="E214" t="s">
        <v>20</v>
      </c>
      <c r="F214" t="s">
        <v>689</v>
      </c>
      <c r="G214" t="s">
        <v>12</v>
      </c>
      <c r="H214" t="s">
        <v>5</v>
      </c>
      <c r="I214" t="s">
        <v>16</v>
      </c>
      <c r="J214" t="s">
        <v>19</v>
      </c>
    </row>
    <row r="215" spans="1:10" x14ac:dyDescent="0.2">
      <c r="A215" t="s">
        <v>53</v>
      </c>
      <c r="B215">
        <v>0</v>
      </c>
      <c r="C215">
        <f t="shared" si="6"/>
        <v>1</v>
      </c>
      <c r="D215">
        <f t="shared" si="7"/>
        <v>2.7275614470907055E-3</v>
      </c>
      <c r="E215" t="s">
        <v>0</v>
      </c>
      <c r="F215" t="s">
        <v>689</v>
      </c>
      <c r="G215" t="s">
        <v>2</v>
      </c>
      <c r="H215" t="s">
        <v>5</v>
      </c>
      <c r="I215" t="s">
        <v>16</v>
      </c>
      <c r="J215" t="s">
        <v>19</v>
      </c>
    </row>
    <row r="216" spans="1:10" x14ac:dyDescent="0.2">
      <c r="A216" t="s">
        <v>64</v>
      </c>
      <c r="B216">
        <v>0.377</v>
      </c>
      <c r="C216">
        <f t="shared" si="6"/>
        <v>0.68591607389602016</v>
      </c>
      <c r="D216">
        <f t="shared" si="7"/>
        <v>1.8708782390986041E-3</v>
      </c>
      <c r="E216" t="s">
        <v>8</v>
      </c>
      <c r="F216" t="s">
        <v>689</v>
      </c>
      <c r="G216" t="s">
        <v>2</v>
      </c>
      <c r="H216" t="s">
        <v>5</v>
      </c>
      <c r="I216" t="s">
        <v>16</v>
      </c>
      <c r="J216" t="s">
        <v>19</v>
      </c>
    </row>
    <row r="217" spans="1:10" x14ac:dyDescent="0.2">
      <c r="A217" t="s">
        <v>82</v>
      </c>
      <c r="B217">
        <v>0</v>
      </c>
      <c r="C217">
        <f t="shared" si="6"/>
        <v>1</v>
      </c>
      <c r="D217">
        <f t="shared" si="7"/>
        <v>2.7275614470907055E-3</v>
      </c>
      <c r="E217" t="s">
        <v>9</v>
      </c>
      <c r="F217" t="s">
        <v>689</v>
      </c>
      <c r="G217" t="s">
        <v>2</v>
      </c>
      <c r="H217" t="s">
        <v>5</v>
      </c>
      <c r="I217" t="s">
        <v>16</v>
      </c>
      <c r="J217" t="s">
        <v>19</v>
      </c>
    </row>
    <row r="218" spans="1:10" x14ac:dyDescent="0.2">
      <c r="A218" t="s">
        <v>125</v>
      </c>
      <c r="B218">
        <v>0</v>
      </c>
      <c r="C218">
        <f t="shared" si="6"/>
        <v>1</v>
      </c>
      <c r="D218">
        <f t="shared" si="7"/>
        <v>2.7275614470907055E-3</v>
      </c>
      <c r="E218" t="s">
        <v>10</v>
      </c>
      <c r="F218" t="s">
        <v>689</v>
      </c>
      <c r="G218" t="s">
        <v>2</v>
      </c>
      <c r="H218" t="s">
        <v>5</v>
      </c>
      <c r="I218" t="s">
        <v>16</v>
      </c>
      <c r="J218" t="s">
        <v>19</v>
      </c>
    </row>
    <row r="219" spans="1:10" x14ac:dyDescent="0.2">
      <c r="A219" t="s">
        <v>139</v>
      </c>
      <c r="B219">
        <v>0.85299999999999998</v>
      </c>
      <c r="C219">
        <f t="shared" si="6"/>
        <v>0.42613460859814872</v>
      </c>
      <c r="D219">
        <f t="shared" si="7"/>
        <v>1.1623083296833979E-3</v>
      </c>
      <c r="E219" t="s">
        <v>11</v>
      </c>
      <c r="F219" t="s">
        <v>689</v>
      </c>
      <c r="G219" t="s">
        <v>2</v>
      </c>
      <c r="H219" t="s">
        <v>5</v>
      </c>
      <c r="I219" t="s">
        <v>16</v>
      </c>
      <c r="J219" t="s">
        <v>19</v>
      </c>
    </row>
    <row r="220" spans="1:10" x14ac:dyDescent="0.2">
      <c r="A220" t="s">
        <v>154</v>
      </c>
      <c r="B220">
        <v>0</v>
      </c>
      <c r="C220">
        <f t="shared" si="6"/>
        <v>1</v>
      </c>
      <c r="D220">
        <f t="shared" si="7"/>
        <v>2.7275614470907055E-3</v>
      </c>
      <c r="E220" t="s">
        <v>12</v>
      </c>
      <c r="F220" t="s">
        <v>689</v>
      </c>
      <c r="G220" t="s">
        <v>2</v>
      </c>
      <c r="H220" t="s">
        <v>5</v>
      </c>
      <c r="I220" t="s">
        <v>16</v>
      </c>
      <c r="J220" t="s">
        <v>19</v>
      </c>
    </row>
    <row r="221" spans="1:10" x14ac:dyDescent="0.2">
      <c r="A221" t="s">
        <v>178</v>
      </c>
      <c r="B221">
        <v>0</v>
      </c>
      <c r="C221">
        <f t="shared" si="6"/>
        <v>1</v>
      </c>
      <c r="D221">
        <f t="shared" si="7"/>
        <v>2.7275614470907055E-3</v>
      </c>
      <c r="E221" t="s">
        <v>5</v>
      </c>
      <c r="F221" t="s">
        <v>689</v>
      </c>
      <c r="G221" t="s">
        <v>2</v>
      </c>
      <c r="H221" t="s">
        <v>5</v>
      </c>
      <c r="I221" t="s">
        <v>16</v>
      </c>
      <c r="J221" t="s">
        <v>19</v>
      </c>
    </row>
    <row r="222" spans="1:10" x14ac:dyDescent="0.2">
      <c r="A222" t="s">
        <v>214</v>
      </c>
      <c r="B222">
        <v>0</v>
      </c>
      <c r="C222">
        <f t="shared" si="6"/>
        <v>1</v>
      </c>
      <c r="D222">
        <f t="shared" si="7"/>
        <v>2.7275614470907055E-3</v>
      </c>
      <c r="E222" t="s">
        <v>13</v>
      </c>
      <c r="F222" t="s">
        <v>689</v>
      </c>
      <c r="G222" t="s">
        <v>2</v>
      </c>
      <c r="H222" t="s">
        <v>5</v>
      </c>
      <c r="I222" t="s">
        <v>16</v>
      </c>
      <c r="J222" t="s">
        <v>19</v>
      </c>
    </row>
    <row r="223" spans="1:10" x14ac:dyDescent="0.2">
      <c r="A223" t="s">
        <v>230</v>
      </c>
      <c r="B223">
        <v>0</v>
      </c>
      <c r="C223">
        <f t="shared" si="6"/>
        <v>1</v>
      </c>
      <c r="D223">
        <f t="shared" si="7"/>
        <v>2.7275614470907055E-3</v>
      </c>
      <c r="E223" t="s">
        <v>2</v>
      </c>
      <c r="F223" t="s">
        <v>689</v>
      </c>
      <c r="G223" t="s">
        <v>2</v>
      </c>
      <c r="H223" t="s">
        <v>5</v>
      </c>
      <c r="I223" t="s">
        <v>16</v>
      </c>
      <c r="J223" t="s">
        <v>19</v>
      </c>
    </row>
    <row r="224" spans="1:10" x14ac:dyDescent="0.2">
      <c r="A224" t="s">
        <v>256</v>
      </c>
      <c r="B224">
        <v>0</v>
      </c>
      <c r="C224">
        <f t="shared" si="6"/>
        <v>1</v>
      </c>
      <c r="D224">
        <f t="shared" si="7"/>
        <v>2.7275614470907055E-3</v>
      </c>
      <c r="E224" t="s">
        <v>14</v>
      </c>
      <c r="F224" t="s">
        <v>689</v>
      </c>
      <c r="G224" t="s">
        <v>2</v>
      </c>
      <c r="H224" t="s">
        <v>5</v>
      </c>
      <c r="I224" t="s">
        <v>16</v>
      </c>
      <c r="J224" t="s">
        <v>19</v>
      </c>
    </row>
    <row r="225" spans="1:10" x14ac:dyDescent="0.2">
      <c r="A225" t="s">
        <v>277</v>
      </c>
      <c r="B225">
        <v>0</v>
      </c>
      <c r="C225">
        <f t="shared" si="6"/>
        <v>1</v>
      </c>
      <c r="D225">
        <f t="shared" si="7"/>
        <v>2.7275614470907055E-3</v>
      </c>
      <c r="E225" t="s">
        <v>1</v>
      </c>
      <c r="F225" t="s">
        <v>689</v>
      </c>
      <c r="G225" t="s">
        <v>2</v>
      </c>
      <c r="H225" t="s">
        <v>5</v>
      </c>
      <c r="I225" t="s">
        <v>16</v>
      </c>
      <c r="J225" t="s">
        <v>19</v>
      </c>
    </row>
    <row r="226" spans="1:10" x14ac:dyDescent="0.2">
      <c r="A226" t="s">
        <v>289</v>
      </c>
      <c r="B226">
        <v>0.377</v>
      </c>
      <c r="C226">
        <f t="shared" si="6"/>
        <v>0.68591607389602016</v>
      </c>
      <c r="D226">
        <f t="shared" si="7"/>
        <v>1.8708782390986041E-3</v>
      </c>
      <c r="E226" t="s">
        <v>15</v>
      </c>
      <c r="F226" t="s">
        <v>689</v>
      </c>
      <c r="G226" t="s">
        <v>2</v>
      </c>
      <c r="H226" t="s">
        <v>5</v>
      </c>
      <c r="I226" t="s">
        <v>16</v>
      </c>
      <c r="J226" t="s">
        <v>19</v>
      </c>
    </row>
    <row r="227" spans="1:10" x14ac:dyDescent="0.2">
      <c r="A227" t="s">
        <v>308</v>
      </c>
      <c r="B227">
        <v>0</v>
      </c>
      <c r="C227">
        <f t="shared" si="6"/>
        <v>1</v>
      </c>
      <c r="D227">
        <f t="shared" si="7"/>
        <v>2.7275614470907055E-3</v>
      </c>
      <c r="E227" t="s">
        <v>16</v>
      </c>
      <c r="F227" t="s">
        <v>689</v>
      </c>
      <c r="G227" t="s">
        <v>2</v>
      </c>
      <c r="H227" t="s">
        <v>5</v>
      </c>
      <c r="I227" t="s">
        <v>16</v>
      </c>
      <c r="J227" t="s">
        <v>19</v>
      </c>
    </row>
    <row r="228" spans="1:10" x14ac:dyDescent="0.2">
      <c r="A228" t="s">
        <v>325</v>
      </c>
      <c r="B228">
        <v>0.45200000000000001</v>
      </c>
      <c r="C228">
        <f t="shared" si="6"/>
        <v>0.63635416972508707</v>
      </c>
      <c r="D228">
        <f t="shared" si="7"/>
        <v>1.7356951000375631E-3</v>
      </c>
      <c r="E228" t="s">
        <v>17</v>
      </c>
      <c r="F228" t="s">
        <v>689</v>
      </c>
      <c r="G228" t="s">
        <v>2</v>
      </c>
      <c r="H228" t="s">
        <v>5</v>
      </c>
      <c r="I228" t="s">
        <v>16</v>
      </c>
      <c r="J228" t="s">
        <v>19</v>
      </c>
    </row>
    <row r="229" spans="1:10" x14ac:dyDescent="0.2">
      <c r="A229" t="s">
        <v>346</v>
      </c>
      <c r="B229">
        <v>0</v>
      </c>
      <c r="C229">
        <f t="shared" si="6"/>
        <v>1</v>
      </c>
      <c r="D229">
        <f t="shared" si="7"/>
        <v>2.7275614470907055E-3</v>
      </c>
      <c r="E229" t="s">
        <v>18</v>
      </c>
      <c r="F229" t="s">
        <v>689</v>
      </c>
      <c r="G229" t="s">
        <v>2</v>
      </c>
      <c r="H229" t="s">
        <v>5</v>
      </c>
      <c r="I229" t="s">
        <v>16</v>
      </c>
      <c r="J229" t="s">
        <v>19</v>
      </c>
    </row>
    <row r="230" spans="1:10" x14ac:dyDescent="0.2">
      <c r="A230" t="s">
        <v>83</v>
      </c>
      <c r="B230">
        <v>0</v>
      </c>
      <c r="C230">
        <f t="shared" si="6"/>
        <v>1</v>
      </c>
      <c r="D230">
        <f t="shared" si="7"/>
        <v>2.7275614470907055E-3</v>
      </c>
      <c r="E230" t="s">
        <v>9</v>
      </c>
      <c r="F230" t="s">
        <v>689</v>
      </c>
      <c r="G230" t="s">
        <v>1</v>
      </c>
      <c r="H230" t="s">
        <v>5</v>
      </c>
      <c r="I230" t="s">
        <v>16</v>
      </c>
      <c r="J230" t="s">
        <v>19</v>
      </c>
    </row>
    <row r="231" spans="1:10" x14ac:dyDescent="0.2">
      <c r="A231" t="s">
        <v>110</v>
      </c>
      <c r="B231">
        <v>0.69099999999999995</v>
      </c>
      <c r="C231">
        <f t="shared" si="6"/>
        <v>0.50107474370144889</v>
      </c>
      <c r="D231">
        <f t="shared" si="7"/>
        <v>1.3667121530309284E-3</v>
      </c>
      <c r="E231" t="s">
        <v>23</v>
      </c>
      <c r="F231" t="s">
        <v>689</v>
      </c>
      <c r="G231" t="s">
        <v>1</v>
      </c>
      <c r="H231" t="s">
        <v>5</v>
      </c>
      <c r="I231" t="s">
        <v>16</v>
      </c>
      <c r="J231" t="s">
        <v>19</v>
      </c>
    </row>
    <row r="232" spans="1:10" x14ac:dyDescent="0.2">
      <c r="A232" t="s">
        <v>126</v>
      </c>
      <c r="B232">
        <v>0</v>
      </c>
      <c r="C232">
        <f t="shared" si="6"/>
        <v>1</v>
      </c>
      <c r="D232">
        <f t="shared" si="7"/>
        <v>2.7275614470907055E-3</v>
      </c>
      <c r="E232" t="s">
        <v>10</v>
      </c>
      <c r="F232" t="s">
        <v>689</v>
      </c>
      <c r="G232" t="s">
        <v>1</v>
      </c>
      <c r="H232" t="s">
        <v>5</v>
      </c>
      <c r="I232" t="s">
        <v>16</v>
      </c>
      <c r="J232" t="s">
        <v>19</v>
      </c>
    </row>
    <row r="233" spans="1:10" x14ac:dyDescent="0.2">
      <c r="A233" t="s">
        <v>140</v>
      </c>
      <c r="B233">
        <v>0.85299999999999998</v>
      </c>
      <c r="C233">
        <f t="shared" si="6"/>
        <v>0.42613460859814872</v>
      </c>
      <c r="D233">
        <f t="shared" si="7"/>
        <v>1.1623083296833979E-3</v>
      </c>
      <c r="E233" t="s">
        <v>11</v>
      </c>
      <c r="F233" t="s">
        <v>689</v>
      </c>
      <c r="G233" t="s">
        <v>1</v>
      </c>
      <c r="H233" t="s">
        <v>5</v>
      </c>
      <c r="I233" t="s">
        <v>16</v>
      </c>
      <c r="J233" t="s">
        <v>19</v>
      </c>
    </row>
    <row r="234" spans="1:10" x14ac:dyDescent="0.2">
      <c r="A234" t="s">
        <v>155</v>
      </c>
      <c r="B234">
        <v>0</v>
      </c>
      <c r="C234">
        <f t="shared" si="6"/>
        <v>1</v>
      </c>
      <c r="D234">
        <f t="shared" si="7"/>
        <v>2.7275614470907055E-3</v>
      </c>
      <c r="E234" t="s">
        <v>12</v>
      </c>
      <c r="F234" t="s">
        <v>689</v>
      </c>
      <c r="G234" t="s">
        <v>1</v>
      </c>
      <c r="H234" t="s">
        <v>5</v>
      </c>
      <c r="I234" t="s">
        <v>16</v>
      </c>
      <c r="J234" t="s">
        <v>19</v>
      </c>
    </row>
    <row r="235" spans="1:10" x14ac:dyDescent="0.2">
      <c r="A235" t="s">
        <v>179</v>
      </c>
      <c r="B235">
        <v>0</v>
      </c>
      <c r="C235">
        <f t="shared" si="6"/>
        <v>1</v>
      </c>
      <c r="D235">
        <f t="shared" si="7"/>
        <v>2.7275614470907055E-3</v>
      </c>
      <c r="E235" t="s">
        <v>5</v>
      </c>
      <c r="F235" t="s">
        <v>689</v>
      </c>
      <c r="G235" t="s">
        <v>1</v>
      </c>
      <c r="H235" t="s">
        <v>5</v>
      </c>
      <c r="I235" t="s">
        <v>16</v>
      </c>
      <c r="J235" t="s">
        <v>19</v>
      </c>
    </row>
    <row r="236" spans="1:10" x14ac:dyDescent="0.2">
      <c r="A236" t="s">
        <v>199</v>
      </c>
      <c r="B236">
        <v>0</v>
      </c>
      <c r="C236">
        <f t="shared" si="6"/>
        <v>1</v>
      </c>
      <c r="D236">
        <f t="shared" si="7"/>
        <v>2.7275614470907055E-3</v>
      </c>
      <c r="E236" t="s">
        <v>22</v>
      </c>
      <c r="F236" t="s">
        <v>689</v>
      </c>
      <c r="G236" t="s">
        <v>1</v>
      </c>
      <c r="H236" t="s">
        <v>5</v>
      </c>
      <c r="I236" t="s">
        <v>16</v>
      </c>
      <c r="J236" t="s">
        <v>19</v>
      </c>
    </row>
    <row r="237" spans="1:10" x14ac:dyDescent="0.2">
      <c r="A237" t="s">
        <v>215</v>
      </c>
      <c r="B237">
        <v>0</v>
      </c>
      <c r="C237">
        <f t="shared" si="6"/>
        <v>1</v>
      </c>
      <c r="D237">
        <f t="shared" si="7"/>
        <v>2.7275614470907055E-3</v>
      </c>
      <c r="E237" t="s">
        <v>13</v>
      </c>
      <c r="F237" t="s">
        <v>689</v>
      </c>
      <c r="G237" t="s">
        <v>1</v>
      </c>
      <c r="H237" t="s">
        <v>5</v>
      </c>
      <c r="I237" t="s">
        <v>16</v>
      </c>
      <c r="J237" t="s">
        <v>19</v>
      </c>
    </row>
    <row r="238" spans="1:10" x14ac:dyDescent="0.2">
      <c r="A238" t="s">
        <v>231</v>
      </c>
      <c r="B238">
        <v>0</v>
      </c>
      <c r="C238">
        <f t="shared" si="6"/>
        <v>1</v>
      </c>
      <c r="D238">
        <f t="shared" si="7"/>
        <v>2.7275614470907055E-3</v>
      </c>
      <c r="E238" t="s">
        <v>2</v>
      </c>
      <c r="F238" t="s">
        <v>689</v>
      </c>
      <c r="G238" t="s">
        <v>1</v>
      </c>
      <c r="H238" t="s">
        <v>5</v>
      </c>
      <c r="I238" t="s">
        <v>16</v>
      </c>
      <c r="J238" t="s">
        <v>19</v>
      </c>
    </row>
    <row r="239" spans="1:10" x14ac:dyDescent="0.2">
      <c r="A239" t="s">
        <v>257</v>
      </c>
      <c r="B239">
        <v>0</v>
      </c>
      <c r="C239">
        <f t="shared" si="6"/>
        <v>1</v>
      </c>
      <c r="D239">
        <f t="shared" si="7"/>
        <v>2.7275614470907055E-3</v>
      </c>
      <c r="E239" t="s">
        <v>14</v>
      </c>
      <c r="F239" t="s">
        <v>689</v>
      </c>
      <c r="G239" t="s">
        <v>1</v>
      </c>
      <c r="H239" t="s">
        <v>5</v>
      </c>
      <c r="I239" t="s">
        <v>16</v>
      </c>
      <c r="J239" t="s">
        <v>19</v>
      </c>
    </row>
    <row r="240" spans="1:10" x14ac:dyDescent="0.2">
      <c r="A240" t="s">
        <v>278</v>
      </c>
      <c r="B240">
        <v>0</v>
      </c>
      <c r="C240">
        <f t="shared" si="6"/>
        <v>1</v>
      </c>
      <c r="D240">
        <f t="shared" si="7"/>
        <v>2.7275614470907055E-3</v>
      </c>
      <c r="E240" t="s">
        <v>1</v>
      </c>
      <c r="F240" t="s">
        <v>689</v>
      </c>
      <c r="G240" t="s">
        <v>1</v>
      </c>
      <c r="H240" t="s">
        <v>5</v>
      </c>
      <c r="I240" t="s">
        <v>16</v>
      </c>
      <c r="J240" t="s">
        <v>19</v>
      </c>
    </row>
    <row r="241" spans="1:10" x14ac:dyDescent="0.2">
      <c r="A241" t="s">
        <v>290</v>
      </c>
      <c r="B241">
        <v>0.377</v>
      </c>
      <c r="C241">
        <f t="shared" si="6"/>
        <v>0.68591607389602016</v>
      </c>
      <c r="D241">
        <f t="shared" si="7"/>
        <v>1.8708782390986041E-3</v>
      </c>
      <c r="E241" t="s">
        <v>15</v>
      </c>
      <c r="F241" t="s">
        <v>689</v>
      </c>
      <c r="G241" t="s">
        <v>1</v>
      </c>
      <c r="H241" t="s">
        <v>5</v>
      </c>
      <c r="I241" t="s">
        <v>16</v>
      </c>
      <c r="J241" t="s">
        <v>19</v>
      </c>
    </row>
    <row r="242" spans="1:10" x14ac:dyDescent="0.2">
      <c r="A242" t="s">
        <v>309</v>
      </c>
      <c r="B242">
        <v>0</v>
      </c>
      <c r="C242">
        <f t="shared" si="6"/>
        <v>1</v>
      </c>
      <c r="D242">
        <f t="shared" si="7"/>
        <v>2.7275614470907055E-3</v>
      </c>
      <c r="E242" t="s">
        <v>16</v>
      </c>
      <c r="F242" t="s">
        <v>689</v>
      </c>
      <c r="G242" t="s">
        <v>1</v>
      </c>
      <c r="H242" t="s">
        <v>5</v>
      </c>
      <c r="I242" t="s">
        <v>16</v>
      </c>
      <c r="J242" t="s">
        <v>19</v>
      </c>
    </row>
    <row r="243" spans="1:10" x14ac:dyDescent="0.2">
      <c r="A243" t="s">
        <v>347</v>
      </c>
      <c r="B243">
        <v>0</v>
      </c>
      <c r="C243">
        <f t="shared" si="6"/>
        <v>1</v>
      </c>
      <c r="D243">
        <f t="shared" si="7"/>
        <v>2.7275614470907055E-3</v>
      </c>
      <c r="E243" t="s">
        <v>18</v>
      </c>
      <c r="F243" t="s">
        <v>689</v>
      </c>
      <c r="G243" t="s">
        <v>1</v>
      </c>
      <c r="H243" t="s">
        <v>5</v>
      </c>
      <c r="I243" t="s">
        <v>16</v>
      </c>
      <c r="J243" t="s">
        <v>19</v>
      </c>
    </row>
    <row r="244" spans="1:10" x14ac:dyDescent="0.2">
      <c r="A244" t="s">
        <v>127</v>
      </c>
      <c r="B244">
        <v>1.2050000000000001</v>
      </c>
      <c r="C244">
        <f t="shared" si="6"/>
        <v>0.29969199951324632</v>
      </c>
      <c r="D244">
        <f t="shared" si="7"/>
        <v>8.1742834387385716E-4</v>
      </c>
      <c r="E244" t="s">
        <v>10</v>
      </c>
      <c r="F244" t="s">
        <v>689</v>
      </c>
      <c r="G244" t="s">
        <v>15</v>
      </c>
      <c r="H244" t="s">
        <v>5</v>
      </c>
      <c r="I244" t="s">
        <v>16</v>
      </c>
      <c r="J244" t="s">
        <v>19</v>
      </c>
    </row>
    <row r="245" spans="1:10" x14ac:dyDescent="0.2">
      <c r="A245" t="s">
        <v>156</v>
      </c>
      <c r="B245">
        <v>1.2050000000000001</v>
      </c>
      <c r="C245">
        <f t="shared" si="6"/>
        <v>0.29969199951324632</v>
      </c>
      <c r="D245">
        <f t="shared" si="7"/>
        <v>8.1742834387385716E-4</v>
      </c>
      <c r="E245" t="s">
        <v>12</v>
      </c>
      <c r="F245" t="s">
        <v>689</v>
      </c>
      <c r="G245" t="s">
        <v>15</v>
      </c>
      <c r="H245" t="s">
        <v>5</v>
      </c>
      <c r="I245" t="s">
        <v>16</v>
      </c>
      <c r="J245" t="s">
        <v>19</v>
      </c>
    </row>
    <row r="246" spans="1:10" x14ac:dyDescent="0.2">
      <c r="A246" t="s">
        <v>180</v>
      </c>
      <c r="B246">
        <v>1.2050000000000001</v>
      </c>
      <c r="C246">
        <f t="shared" si="6"/>
        <v>0.29969199951324632</v>
      </c>
      <c r="D246">
        <f t="shared" si="7"/>
        <v>8.1742834387385716E-4</v>
      </c>
      <c r="E246" t="s">
        <v>5</v>
      </c>
      <c r="F246" t="s">
        <v>689</v>
      </c>
      <c r="G246" t="s">
        <v>15</v>
      </c>
      <c r="H246" t="s">
        <v>5</v>
      </c>
      <c r="I246" t="s">
        <v>16</v>
      </c>
      <c r="J246" t="s">
        <v>19</v>
      </c>
    </row>
    <row r="247" spans="1:10" x14ac:dyDescent="0.2">
      <c r="A247" t="s">
        <v>291</v>
      </c>
      <c r="B247">
        <v>1.583</v>
      </c>
      <c r="C247">
        <f t="shared" si="6"/>
        <v>0.20535809887201756</v>
      </c>
      <c r="D247">
        <f t="shared" si="7"/>
        <v>5.6012683333115645E-4</v>
      </c>
      <c r="E247" t="s">
        <v>15</v>
      </c>
      <c r="F247" t="s">
        <v>689</v>
      </c>
      <c r="G247" t="s">
        <v>15</v>
      </c>
      <c r="H247" t="s">
        <v>5</v>
      </c>
      <c r="I247" t="s">
        <v>16</v>
      </c>
      <c r="J247" t="s">
        <v>19</v>
      </c>
    </row>
    <row r="248" spans="1:10" x14ac:dyDescent="0.2">
      <c r="A248" t="s">
        <v>54</v>
      </c>
      <c r="B248">
        <v>0</v>
      </c>
      <c r="C248">
        <f t="shared" si="6"/>
        <v>1</v>
      </c>
      <c r="D248">
        <f t="shared" si="7"/>
        <v>2.7275614470907055E-3</v>
      </c>
      <c r="E248" t="s">
        <v>0</v>
      </c>
      <c r="F248" t="s">
        <v>689</v>
      </c>
      <c r="G248" t="s">
        <v>16</v>
      </c>
      <c r="H248" t="s">
        <v>5</v>
      </c>
      <c r="I248" t="s">
        <v>16</v>
      </c>
      <c r="J248" t="s">
        <v>19</v>
      </c>
    </row>
    <row r="249" spans="1:10" x14ac:dyDescent="0.2">
      <c r="A249" t="s">
        <v>65</v>
      </c>
      <c r="B249">
        <v>0.377</v>
      </c>
      <c r="C249">
        <f t="shared" si="6"/>
        <v>0.68591607389602016</v>
      </c>
      <c r="D249">
        <f t="shared" si="7"/>
        <v>1.8708782390986041E-3</v>
      </c>
      <c r="E249" t="s">
        <v>8</v>
      </c>
      <c r="F249" t="s">
        <v>689</v>
      </c>
      <c r="G249" t="s">
        <v>16</v>
      </c>
      <c r="H249" t="s">
        <v>5</v>
      </c>
      <c r="I249" t="s">
        <v>16</v>
      </c>
      <c r="J249" t="s">
        <v>19</v>
      </c>
    </row>
    <row r="250" spans="1:10" x14ac:dyDescent="0.2">
      <c r="A250" t="s">
        <v>84</v>
      </c>
      <c r="B250">
        <v>0</v>
      </c>
      <c r="C250">
        <f t="shared" si="6"/>
        <v>1</v>
      </c>
      <c r="D250">
        <f t="shared" si="7"/>
        <v>2.7275614470907055E-3</v>
      </c>
      <c r="E250" t="s">
        <v>9</v>
      </c>
      <c r="F250" t="s">
        <v>689</v>
      </c>
      <c r="G250" t="s">
        <v>16</v>
      </c>
      <c r="H250" t="s">
        <v>5</v>
      </c>
      <c r="I250" t="s">
        <v>16</v>
      </c>
      <c r="J250" t="s">
        <v>19</v>
      </c>
    </row>
    <row r="251" spans="1:10" x14ac:dyDescent="0.2">
      <c r="A251" t="s">
        <v>101</v>
      </c>
      <c r="B251">
        <v>0.26300000000000001</v>
      </c>
      <c r="C251">
        <f t="shared" si="6"/>
        <v>0.76874189731116027</v>
      </c>
      <c r="D251">
        <f t="shared" si="7"/>
        <v>2.0967907618692828E-3</v>
      </c>
      <c r="E251" t="s">
        <v>24</v>
      </c>
      <c r="F251" t="s">
        <v>689</v>
      </c>
      <c r="G251" t="s">
        <v>16</v>
      </c>
      <c r="H251" t="s">
        <v>5</v>
      </c>
      <c r="I251" t="s">
        <v>16</v>
      </c>
      <c r="J251" t="s">
        <v>19</v>
      </c>
    </row>
    <row r="252" spans="1:10" x14ac:dyDescent="0.2">
      <c r="A252" t="s">
        <v>128</v>
      </c>
      <c r="B252">
        <v>0</v>
      </c>
      <c r="C252">
        <f t="shared" si="6"/>
        <v>1</v>
      </c>
      <c r="D252">
        <f t="shared" si="7"/>
        <v>2.7275614470907055E-3</v>
      </c>
      <c r="E252" t="s">
        <v>10</v>
      </c>
      <c r="F252" t="s">
        <v>689</v>
      </c>
      <c r="G252" t="s">
        <v>16</v>
      </c>
      <c r="H252" t="s">
        <v>5</v>
      </c>
      <c r="I252" t="s">
        <v>16</v>
      </c>
      <c r="J252" t="s">
        <v>19</v>
      </c>
    </row>
    <row r="253" spans="1:10" x14ac:dyDescent="0.2">
      <c r="A253" t="s">
        <v>157</v>
      </c>
      <c r="B253">
        <v>0</v>
      </c>
      <c r="C253">
        <f t="shared" si="6"/>
        <v>1</v>
      </c>
      <c r="D253">
        <f t="shared" si="7"/>
        <v>2.7275614470907055E-3</v>
      </c>
      <c r="E253" t="s">
        <v>12</v>
      </c>
      <c r="F253" t="s">
        <v>689</v>
      </c>
      <c r="G253" t="s">
        <v>16</v>
      </c>
      <c r="H253" t="s">
        <v>5</v>
      </c>
      <c r="I253" t="s">
        <v>16</v>
      </c>
      <c r="J253" t="s">
        <v>19</v>
      </c>
    </row>
    <row r="254" spans="1:10" x14ac:dyDescent="0.2">
      <c r="A254" t="s">
        <v>181</v>
      </c>
      <c r="B254">
        <v>0</v>
      </c>
      <c r="C254">
        <f t="shared" si="6"/>
        <v>1</v>
      </c>
      <c r="D254">
        <f t="shared" si="7"/>
        <v>2.7275614470907055E-3</v>
      </c>
      <c r="E254" t="s">
        <v>5</v>
      </c>
      <c r="F254" t="s">
        <v>689</v>
      </c>
      <c r="G254" t="s">
        <v>16</v>
      </c>
      <c r="H254" t="s">
        <v>5</v>
      </c>
      <c r="I254" t="s">
        <v>16</v>
      </c>
      <c r="J254" t="s">
        <v>19</v>
      </c>
    </row>
    <row r="255" spans="1:10" x14ac:dyDescent="0.2">
      <c r="A255" t="s">
        <v>200</v>
      </c>
      <c r="B255">
        <v>0</v>
      </c>
      <c r="C255">
        <f t="shared" si="6"/>
        <v>1</v>
      </c>
      <c r="D255">
        <f t="shared" si="7"/>
        <v>2.7275614470907055E-3</v>
      </c>
      <c r="E255" t="s">
        <v>22</v>
      </c>
      <c r="F255" t="s">
        <v>689</v>
      </c>
      <c r="G255" t="s">
        <v>16</v>
      </c>
      <c r="H255" t="s">
        <v>5</v>
      </c>
      <c r="I255" t="s">
        <v>16</v>
      </c>
      <c r="J255" t="s">
        <v>19</v>
      </c>
    </row>
    <row r="256" spans="1:10" x14ac:dyDescent="0.2">
      <c r="A256" t="s">
        <v>216</v>
      </c>
      <c r="B256">
        <v>0</v>
      </c>
      <c r="C256">
        <f t="shared" si="6"/>
        <v>1</v>
      </c>
      <c r="D256">
        <f t="shared" si="7"/>
        <v>2.7275614470907055E-3</v>
      </c>
      <c r="E256" t="s">
        <v>13</v>
      </c>
      <c r="F256" t="s">
        <v>689</v>
      </c>
      <c r="G256" t="s">
        <v>16</v>
      </c>
      <c r="H256" t="s">
        <v>5</v>
      </c>
      <c r="I256" t="s">
        <v>16</v>
      </c>
      <c r="J256" t="s">
        <v>19</v>
      </c>
    </row>
    <row r="257" spans="1:10" x14ac:dyDescent="0.2">
      <c r="A257" t="s">
        <v>232</v>
      </c>
      <c r="B257">
        <v>0</v>
      </c>
      <c r="C257">
        <f t="shared" si="6"/>
        <v>1</v>
      </c>
      <c r="D257">
        <f t="shared" si="7"/>
        <v>2.7275614470907055E-3</v>
      </c>
      <c r="E257" t="s">
        <v>2</v>
      </c>
      <c r="F257" t="s">
        <v>689</v>
      </c>
      <c r="G257" t="s">
        <v>16</v>
      </c>
      <c r="H257" t="s">
        <v>5</v>
      </c>
      <c r="I257" t="s">
        <v>16</v>
      </c>
      <c r="J257" t="s">
        <v>19</v>
      </c>
    </row>
    <row r="258" spans="1:10" x14ac:dyDescent="0.2">
      <c r="A258" t="s">
        <v>279</v>
      </c>
      <c r="B258">
        <v>0</v>
      </c>
      <c r="C258">
        <f t="shared" si="6"/>
        <v>1</v>
      </c>
      <c r="D258">
        <f t="shared" si="7"/>
        <v>2.7275614470907055E-3</v>
      </c>
      <c r="E258" t="s">
        <v>1</v>
      </c>
      <c r="F258" t="s">
        <v>689</v>
      </c>
      <c r="G258" t="s">
        <v>16</v>
      </c>
      <c r="H258" t="s">
        <v>5</v>
      </c>
      <c r="I258" t="s">
        <v>16</v>
      </c>
      <c r="J258" t="s">
        <v>19</v>
      </c>
    </row>
    <row r="259" spans="1:10" x14ac:dyDescent="0.2">
      <c r="A259" t="s">
        <v>292</v>
      </c>
      <c r="B259">
        <v>0.377</v>
      </c>
      <c r="C259">
        <f t="shared" ref="C259:C322" si="8">EXP(-B259)</f>
        <v>0.68591607389602016</v>
      </c>
      <c r="D259">
        <f t="shared" ref="D259:D322" si="9">C259/366.627854</f>
        <v>1.8708782390986041E-3</v>
      </c>
      <c r="E259" t="s">
        <v>15</v>
      </c>
      <c r="F259" t="s">
        <v>689</v>
      </c>
      <c r="G259" t="s">
        <v>16</v>
      </c>
      <c r="H259" t="s">
        <v>5</v>
      </c>
      <c r="I259" t="s">
        <v>16</v>
      </c>
      <c r="J259" t="s">
        <v>19</v>
      </c>
    </row>
    <row r="260" spans="1:10" x14ac:dyDescent="0.2">
      <c r="A260" t="s">
        <v>310</v>
      </c>
      <c r="B260">
        <v>0</v>
      </c>
      <c r="C260">
        <f t="shared" si="8"/>
        <v>1</v>
      </c>
      <c r="D260">
        <f t="shared" si="9"/>
        <v>2.7275614470907055E-3</v>
      </c>
      <c r="E260" t="s">
        <v>16</v>
      </c>
      <c r="F260" t="s">
        <v>689</v>
      </c>
      <c r="G260" t="s">
        <v>16</v>
      </c>
      <c r="H260" t="s">
        <v>5</v>
      </c>
      <c r="I260" t="s">
        <v>16</v>
      </c>
      <c r="J260" t="s">
        <v>19</v>
      </c>
    </row>
    <row r="261" spans="1:10" x14ac:dyDescent="0.2">
      <c r="A261" t="s">
        <v>326</v>
      </c>
      <c r="B261">
        <v>0.45200000000000001</v>
      </c>
      <c r="C261">
        <f t="shared" si="8"/>
        <v>0.63635416972508707</v>
      </c>
      <c r="D261">
        <f t="shared" si="9"/>
        <v>1.7356951000375631E-3</v>
      </c>
      <c r="E261" t="s">
        <v>17</v>
      </c>
      <c r="F261" t="s">
        <v>689</v>
      </c>
      <c r="G261" t="s">
        <v>16</v>
      </c>
      <c r="H261" t="s">
        <v>5</v>
      </c>
      <c r="I261" t="s">
        <v>16</v>
      </c>
      <c r="J261" t="s">
        <v>19</v>
      </c>
    </row>
    <row r="262" spans="1:10" x14ac:dyDescent="0.2">
      <c r="A262" t="s">
        <v>348</v>
      </c>
      <c r="B262">
        <v>0</v>
      </c>
      <c r="C262">
        <f t="shared" si="8"/>
        <v>1</v>
      </c>
      <c r="D262">
        <f t="shared" si="9"/>
        <v>2.7275614470907055E-3</v>
      </c>
      <c r="E262" t="s">
        <v>18</v>
      </c>
      <c r="F262" t="s">
        <v>689</v>
      </c>
      <c r="G262" t="s">
        <v>16</v>
      </c>
      <c r="H262" t="s">
        <v>5</v>
      </c>
      <c r="I262" t="s">
        <v>16</v>
      </c>
      <c r="J262" t="s">
        <v>19</v>
      </c>
    </row>
    <row r="263" spans="1:10" x14ac:dyDescent="0.2">
      <c r="A263" t="s">
        <v>102</v>
      </c>
      <c r="B263">
        <v>0.26300000000000001</v>
      </c>
      <c r="C263">
        <f t="shared" si="8"/>
        <v>0.76874189731116027</v>
      </c>
      <c r="D263">
        <f t="shared" si="9"/>
        <v>2.0967907618692828E-3</v>
      </c>
      <c r="E263" t="s">
        <v>24</v>
      </c>
      <c r="F263" t="s">
        <v>689</v>
      </c>
      <c r="G263" t="s">
        <v>25</v>
      </c>
      <c r="H263" t="s">
        <v>5</v>
      </c>
      <c r="I263" t="s">
        <v>16</v>
      </c>
      <c r="J263" t="s">
        <v>19</v>
      </c>
    </row>
    <row r="264" spans="1:10" x14ac:dyDescent="0.2">
      <c r="A264" t="s">
        <v>111</v>
      </c>
      <c r="B264">
        <v>0.69099999999999995</v>
      </c>
      <c r="C264">
        <f t="shared" si="8"/>
        <v>0.50107474370144889</v>
      </c>
      <c r="D264">
        <f t="shared" si="9"/>
        <v>1.3667121530309284E-3</v>
      </c>
      <c r="E264" t="s">
        <v>23</v>
      </c>
      <c r="F264" t="s">
        <v>689</v>
      </c>
      <c r="G264" t="s">
        <v>25</v>
      </c>
      <c r="H264" t="s">
        <v>5</v>
      </c>
      <c r="I264" t="s">
        <v>16</v>
      </c>
      <c r="J264" t="s">
        <v>19</v>
      </c>
    </row>
    <row r="265" spans="1:10" x14ac:dyDescent="0.2">
      <c r="A265" t="s">
        <v>129</v>
      </c>
      <c r="B265">
        <v>0</v>
      </c>
      <c r="C265">
        <f t="shared" si="8"/>
        <v>1</v>
      </c>
      <c r="D265">
        <f t="shared" si="9"/>
        <v>2.7275614470907055E-3</v>
      </c>
      <c r="E265" t="s">
        <v>10</v>
      </c>
      <c r="F265" t="s">
        <v>689</v>
      </c>
      <c r="G265" t="s">
        <v>25</v>
      </c>
      <c r="H265" t="s">
        <v>5</v>
      </c>
      <c r="I265" t="s">
        <v>16</v>
      </c>
      <c r="J265" t="s">
        <v>19</v>
      </c>
    </row>
    <row r="266" spans="1:10" x14ac:dyDescent="0.2">
      <c r="A266" t="s">
        <v>158</v>
      </c>
      <c r="B266">
        <v>0</v>
      </c>
      <c r="C266">
        <f t="shared" si="8"/>
        <v>1</v>
      </c>
      <c r="D266">
        <f t="shared" si="9"/>
        <v>2.7275614470907055E-3</v>
      </c>
      <c r="E266" t="s">
        <v>12</v>
      </c>
      <c r="F266" t="s">
        <v>689</v>
      </c>
      <c r="G266" t="s">
        <v>25</v>
      </c>
      <c r="H266" t="s">
        <v>5</v>
      </c>
      <c r="I266" t="s">
        <v>16</v>
      </c>
      <c r="J266" t="s">
        <v>19</v>
      </c>
    </row>
    <row r="267" spans="1:10" x14ac:dyDescent="0.2">
      <c r="A267" t="s">
        <v>182</v>
      </c>
      <c r="B267">
        <v>0</v>
      </c>
      <c r="C267">
        <f t="shared" si="8"/>
        <v>1</v>
      </c>
      <c r="D267">
        <f t="shared" si="9"/>
        <v>2.7275614470907055E-3</v>
      </c>
      <c r="E267" t="s">
        <v>5</v>
      </c>
      <c r="F267" t="s">
        <v>689</v>
      </c>
      <c r="G267" t="s">
        <v>25</v>
      </c>
      <c r="H267" t="s">
        <v>5</v>
      </c>
      <c r="I267" t="s">
        <v>16</v>
      </c>
      <c r="J267" t="s">
        <v>19</v>
      </c>
    </row>
    <row r="268" spans="1:10" x14ac:dyDescent="0.2">
      <c r="A268" t="s">
        <v>201</v>
      </c>
      <c r="B268">
        <v>0</v>
      </c>
      <c r="C268">
        <f t="shared" si="8"/>
        <v>1</v>
      </c>
      <c r="D268">
        <f t="shared" si="9"/>
        <v>2.7275614470907055E-3</v>
      </c>
      <c r="E268" t="s">
        <v>22</v>
      </c>
      <c r="F268" t="s">
        <v>689</v>
      </c>
      <c r="G268" t="s">
        <v>25</v>
      </c>
      <c r="H268" t="s">
        <v>5</v>
      </c>
      <c r="I268" t="s">
        <v>16</v>
      </c>
      <c r="J268" t="s">
        <v>19</v>
      </c>
    </row>
    <row r="269" spans="1:10" x14ac:dyDescent="0.2">
      <c r="A269" t="s">
        <v>233</v>
      </c>
      <c r="B269">
        <v>0</v>
      </c>
      <c r="C269">
        <f t="shared" si="8"/>
        <v>1</v>
      </c>
      <c r="D269">
        <f t="shared" si="9"/>
        <v>2.7275614470907055E-3</v>
      </c>
      <c r="E269" t="s">
        <v>2</v>
      </c>
      <c r="F269" t="s">
        <v>689</v>
      </c>
      <c r="G269" t="s">
        <v>25</v>
      </c>
      <c r="H269" t="s">
        <v>5</v>
      </c>
      <c r="I269" t="s">
        <v>16</v>
      </c>
      <c r="J269" t="s">
        <v>19</v>
      </c>
    </row>
    <row r="270" spans="1:10" x14ac:dyDescent="0.2">
      <c r="A270" t="s">
        <v>258</v>
      </c>
      <c r="B270">
        <v>0</v>
      </c>
      <c r="C270">
        <f t="shared" si="8"/>
        <v>1</v>
      </c>
      <c r="D270">
        <f t="shared" si="9"/>
        <v>2.7275614470907055E-3</v>
      </c>
      <c r="E270" t="s">
        <v>14</v>
      </c>
      <c r="F270" t="s">
        <v>689</v>
      </c>
      <c r="G270" t="s">
        <v>25</v>
      </c>
      <c r="H270" t="s">
        <v>5</v>
      </c>
      <c r="I270" t="s">
        <v>16</v>
      </c>
      <c r="J270" t="s">
        <v>19</v>
      </c>
    </row>
    <row r="271" spans="1:10" x14ac:dyDescent="0.2">
      <c r="A271" t="s">
        <v>280</v>
      </c>
      <c r="B271">
        <v>0</v>
      </c>
      <c r="C271">
        <f t="shared" si="8"/>
        <v>1</v>
      </c>
      <c r="D271">
        <f t="shared" si="9"/>
        <v>2.7275614470907055E-3</v>
      </c>
      <c r="E271" t="s">
        <v>1</v>
      </c>
      <c r="F271" t="s">
        <v>689</v>
      </c>
      <c r="G271" t="s">
        <v>25</v>
      </c>
      <c r="H271" t="s">
        <v>5</v>
      </c>
      <c r="I271" t="s">
        <v>16</v>
      </c>
      <c r="J271" t="s">
        <v>19</v>
      </c>
    </row>
    <row r="272" spans="1:10" x14ac:dyDescent="0.2">
      <c r="A272" t="s">
        <v>293</v>
      </c>
      <c r="B272">
        <v>0.377</v>
      </c>
      <c r="C272">
        <f t="shared" si="8"/>
        <v>0.68591607389602016</v>
      </c>
      <c r="D272">
        <f t="shared" si="9"/>
        <v>1.8708782390986041E-3</v>
      </c>
      <c r="E272" t="s">
        <v>15</v>
      </c>
      <c r="F272" t="s">
        <v>689</v>
      </c>
      <c r="G272" t="s">
        <v>25</v>
      </c>
      <c r="H272" t="s">
        <v>5</v>
      </c>
      <c r="I272" t="s">
        <v>16</v>
      </c>
      <c r="J272" t="s">
        <v>19</v>
      </c>
    </row>
    <row r="273" spans="1:10" x14ac:dyDescent="0.2">
      <c r="A273" t="s">
        <v>311</v>
      </c>
      <c r="B273">
        <v>0</v>
      </c>
      <c r="C273">
        <f t="shared" si="8"/>
        <v>1</v>
      </c>
      <c r="D273">
        <f t="shared" si="9"/>
        <v>2.7275614470907055E-3</v>
      </c>
      <c r="E273" t="s">
        <v>16</v>
      </c>
      <c r="F273" t="s">
        <v>689</v>
      </c>
      <c r="G273" t="s">
        <v>25</v>
      </c>
      <c r="H273" t="s">
        <v>5</v>
      </c>
      <c r="I273" t="s">
        <v>16</v>
      </c>
      <c r="J273" t="s">
        <v>19</v>
      </c>
    </row>
    <row r="274" spans="1:10" x14ac:dyDescent="0.2">
      <c r="A274" t="s">
        <v>327</v>
      </c>
      <c r="B274">
        <v>0.45200000000000001</v>
      </c>
      <c r="C274">
        <f t="shared" si="8"/>
        <v>0.63635416972508707</v>
      </c>
      <c r="D274">
        <f t="shared" si="9"/>
        <v>1.7356951000375631E-3</v>
      </c>
      <c r="E274" t="s">
        <v>17</v>
      </c>
      <c r="F274" t="s">
        <v>689</v>
      </c>
      <c r="G274" t="s">
        <v>25</v>
      </c>
      <c r="H274" t="s">
        <v>5</v>
      </c>
      <c r="I274" t="s">
        <v>16</v>
      </c>
      <c r="J274" t="s">
        <v>19</v>
      </c>
    </row>
    <row r="275" spans="1:10" x14ac:dyDescent="0.2">
      <c r="A275" t="s">
        <v>349</v>
      </c>
      <c r="B275">
        <v>0</v>
      </c>
      <c r="C275">
        <f t="shared" si="8"/>
        <v>1</v>
      </c>
      <c r="D275">
        <f t="shared" si="9"/>
        <v>2.7275614470907055E-3</v>
      </c>
      <c r="E275" t="s">
        <v>18</v>
      </c>
      <c r="F275" t="s">
        <v>689</v>
      </c>
      <c r="G275" t="s">
        <v>25</v>
      </c>
      <c r="H275" t="s">
        <v>5</v>
      </c>
      <c r="I275" t="s">
        <v>16</v>
      </c>
      <c r="J275" t="s">
        <v>19</v>
      </c>
    </row>
    <row r="276" spans="1:10" x14ac:dyDescent="0.2">
      <c r="A276" t="s">
        <v>792</v>
      </c>
      <c r="B276">
        <v>2.0209999999999999</v>
      </c>
      <c r="C276">
        <f t="shared" si="8"/>
        <v>0.13252287592067044</v>
      </c>
      <c r="D276">
        <f t="shared" si="9"/>
        <v>3.614642872188059E-4</v>
      </c>
      <c r="E276" t="s">
        <v>26</v>
      </c>
      <c r="F276" t="s">
        <v>689</v>
      </c>
      <c r="G276" t="s">
        <v>8</v>
      </c>
      <c r="H276" t="s">
        <v>5</v>
      </c>
      <c r="I276" t="s">
        <v>16</v>
      </c>
      <c r="J276" t="s">
        <v>13</v>
      </c>
    </row>
    <row r="277" spans="1:10" x14ac:dyDescent="0.2">
      <c r="A277" t="s">
        <v>815</v>
      </c>
      <c r="B277">
        <v>0.64</v>
      </c>
      <c r="C277">
        <f t="shared" si="8"/>
        <v>0.52729242404304855</v>
      </c>
      <c r="D277">
        <f t="shared" si="9"/>
        <v>1.4382224871628236E-3</v>
      </c>
      <c r="E277" t="s">
        <v>24</v>
      </c>
      <c r="F277" t="s">
        <v>689</v>
      </c>
      <c r="G277" t="s">
        <v>8</v>
      </c>
      <c r="H277" t="s">
        <v>5</v>
      </c>
      <c r="I277" t="s">
        <v>16</v>
      </c>
      <c r="J277" t="s">
        <v>13</v>
      </c>
    </row>
    <row r="278" spans="1:10" x14ac:dyDescent="0.2">
      <c r="A278" t="s">
        <v>835</v>
      </c>
      <c r="B278">
        <v>1.0680000000000001</v>
      </c>
      <c r="C278">
        <f t="shared" si="8"/>
        <v>0.34369522092815236</v>
      </c>
      <c r="D278">
        <f t="shared" si="9"/>
        <v>9.3744983415295106E-4</v>
      </c>
      <c r="E278" t="s">
        <v>23</v>
      </c>
      <c r="F278" t="s">
        <v>689</v>
      </c>
      <c r="G278" t="s">
        <v>8</v>
      </c>
      <c r="H278" t="s">
        <v>5</v>
      </c>
      <c r="I278" t="s">
        <v>16</v>
      </c>
      <c r="J278" t="s">
        <v>13</v>
      </c>
    </row>
    <row r="279" spans="1:10" x14ac:dyDescent="0.2">
      <c r="A279" t="s">
        <v>854</v>
      </c>
      <c r="B279">
        <v>0.377</v>
      </c>
      <c r="C279">
        <f t="shared" si="8"/>
        <v>0.68591607389602016</v>
      </c>
      <c r="D279">
        <f t="shared" si="9"/>
        <v>1.8708782390986041E-3</v>
      </c>
      <c r="E279" t="s">
        <v>10</v>
      </c>
      <c r="F279" t="s">
        <v>689</v>
      </c>
      <c r="G279" t="s">
        <v>8</v>
      </c>
      <c r="H279" t="s">
        <v>5</v>
      </c>
      <c r="I279" t="s">
        <v>16</v>
      </c>
      <c r="J279" t="s">
        <v>13</v>
      </c>
    </row>
    <row r="280" spans="1:10" x14ac:dyDescent="0.2">
      <c r="A280" t="s">
        <v>869</v>
      </c>
      <c r="B280">
        <v>1.23</v>
      </c>
      <c r="C280">
        <f t="shared" si="8"/>
        <v>0.29229257768085942</v>
      </c>
      <c r="D280">
        <f t="shared" si="9"/>
        <v>7.9724596615307738E-4</v>
      </c>
      <c r="E280" t="s">
        <v>11</v>
      </c>
      <c r="F280" t="s">
        <v>689</v>
      </c>
      <c r="G280" t="s">
        <v>8</v>
      </c>
      <c r="H280" t="s">
        <v>5</v>
      </c>
      <c r="I280" t="s">
        <v>16</v>
      </c>
      <c r="J280" t="s">
        <v>13</v>
      </c>
    </row>
    <row r="281" spans="1:10" x14ac:dyDescent="0.2">
      <c r="A281" t="s">
        <v>923</v>
      </c>
      <c r="B281">
        <v>0.377</v>
      </c>
      <c r="C281">
        <f t="shared" si="8"/>
        <v>0.68591607389602016</v>
      </c>
      <c r="D281">
        <f t="shared" si="9"/>
        <v>1.8708782390986041E-3</v>
      </c>
      <c r="E281" t="s">
        <v>13</v>
      </c>
      <c r="F281" t="s">
        <v>689</v>
      </c>
      <c r="G281" t="s">
        <v>8</v>
      </c>
      <c r="H281" t="s">
        <v>5</v>
      </c>
      <c r="I281" t="s">
        <v>16</v>
      </c>
      <c r="J281" t="s">
        <v>13</v>
      </c>
    </row>
    <row r="282" spans="1:10" x14ac:dyDescent="0.2">
      <c r="A282" t="s">
        <v>960</v>
      </c>
      <c r="B282">
        <v>0.377</v>
      </c>
      <c r="C282">
        <f t="shared" si="8"/>
        <v>0.68591607389602016</v>
      </c>
      <c r="D282">
        <f t="shared" si="9"/>
        <v>1.8708782390986041E-3</v>
      </c>
      <c r="E282" t="s">
        <v>1</v>
      </c>
      <c r="F282" t="s">
        <v>689</v>
      </c>
      <c r="G282" t="s">
        <v>8</v>
      </c>
      <c r="H282" t="s">
        <v>5</v>
      </c>
      <c r="I282" t="s">
        <v>16</v>
      </c>
      <c r="J282" t="s">
        <v>13</v>
      </c>
    </row>
    <row r="283" spans="1:10" x14ac:dyDescent="0.2">
      <c r="A283" t="s">
        <v>977</v>
      </c>
      <c r="B283">
        <v>0.754</v>
      </c>
      <c r="C283">
        <f t="shared" si="8"/>
        <v>0.47048086042893056</v>
      </c>
      <c r="D283">
        <f t="shared" si="9"/>
        <v>1.2832654565000142E-3</v>
      </c>
      <c r="E283" t="s">
        <v>15</v>
      </c>
      <c r="F283" t="s">
        <v>689</v>
      </c>
      <c r="G283" t="s">
        <v>8</v>
      </c>
      <c r="H283" t="s">
        <v>5</v>
      </c>
      <c r="I283" t="s">
        <v>16</v>
      </c>
      <c r="J283" t="s">
        <v>13</v>
      </c>
    </row>
    <row r="284" spans="1:10" x14ac:dyDescent="0.2">
      <c r="A284" t="s">
        <v>1013</v>
      </c>
      <c r="B284">
        <v>1.657</v>
      </c>
      <c r="C284">
        <f t="shared" si="8"/>
        <v>0.19071025352350304</v>
      </c>
      <c r="D284">
        <f t="shared" si="9"/>
        <v>5.2017393507560134E-4</v>
      </c>
      <c r="E284" t="s">
        <v>25</v>
      </c>
      <c r="F284" t="s">
        <v>689</v>
      </c>
      <c r="G284" t="s">
        <v>8</v>
      </c>
      <c r="H284" t="s">
        <v>5</v>
      </c>
      <c r="I284" t="s">
        <v>16</v>
      </c>
      <c r="J284" t="s">
        <v>13</v>
      </c>
    </row>
    <row r="285" spans="1:10" x14ac:dyDescent="0.2">
      <c r="A285" t="s">
        <v>1070</v>
      </c>
      <c r="B285">
        <v>3.367</v>
      </c>
      <c r="C285">
        <f t="shared" si="8"/>
        <v>3.4492961163740683E-2</v>
      </c>
      <c r="D285">
        <f t="shared" si="9"/>
        <v>9.4081671066216047E-5</v>
      </c>
      <c r="E285" t="s">
        <v>19</v>
      </c>
      <c r="F285" t="s">
        <v>689</v>
      </c>
      <c r="G285" t="s">
        <v>8</v>
      </c>
      <c r="H285" t="s">
        <v>5</v>
      </c>
      <c r="I285" t="s">
        <v>16</v>
      </c>
      <c r="J285" t="s">
        <v>13</v>
      </c>
    </row>
    <row r="286" spans="1:10" x14ac:dyDescent="0.2">
      <c r="A286" t="s">
        <v>1095</v>
      </c>
      <c r="B286">
        <v>1.03</v>
      </c>
      <c r="C286">
        <f t="shared" si="8"/>
        <v>0.35700696056914738</v>
      </c>
      <c r="D286">
        <f t="shared" si="9"/>
        <v>9.7375842199143813E-4</v>
      </c>
      <c r="E286" t="s">
        <v>20</v>
      </c>
      <c r="F286" t="s">
        <v>689</v>
      </c>
      <c r="G286" t="s">
        <v>8</v>
      </c>
      <c r="H286" t="s">
        <v>5</v>
      </c>
      <c r="I286" t="s">
        <v>16</v>
      </c>
      <c r="J286" t="s">
        <v>13</v>
      </c>
    </row>
    <row r="287" spans="1:10" x14ac:dyDescent="0.2">
      <c r="A287" t="s">
        <v>770</v>
      </c>
      <c r="B287">
        <v>0.26300000000000001</v>
      </c>
      <c r="C287">
        <f t="shared" si="8"/>
        <v>0.76874189731116027</v>
      </c>
      <c r="D287">
        <f t="shared" si="9"/>
        <v>2.0967907618692828E-3</v>
      </c>
      <c r="E287" t="s">
        <v>9</v>
      </c>
      <c r="F287" t="s">
        <v>689</v>
      </c>
      <c r="G287" t="s">
        <v>24</v>
      </c>
      <c r="H287" t="s">
        <v>5</v>
      </c>
      <c r="I287" t="s">
        <v>16</v>
      </c>
      <c r="J287" t="s">
        <v>13</v>
      </c>
    </row>
    <row r="288" spans="1:10" x14ac:dyDescent="0.2">
      <c r="A288" t="s">
        <v>795</v>
      </c>
      <c r="B288">
        <v>1.907</v>
      </c>
      <c r="C288">
        <f t="shared" si="8"/>
        <v>0.14852529478385032</v>
      </c>
      <c r="D288">
        <f t="shared" si="9"/>
        <v>4.051118679702124E-4</v>
      </c>
      <c r="E288" t="s">
        <v>26</v>
      </c>
      <c r="F288" t="s">
        <v>689</v>
      </c>
      <c r="G288" t="s">
        <v>24</v>
      </c>
      <c r="H288" t="s">
        <v>5</v>
      </c>
      <c r="I288" t="s">
        <v>16</v>
      </c>
      <c r="J288" t="s">
        <v>13</v>
      </c>
    </row>
    <row r="289" spans="1:10" x14ac:dyDescent="0.2">
      <c r="A289" t="s">
        <v>837</v>
      </c>
      <c r="B289">
        <v>0.95399999999999996</v>
      </c>
      <c r="C289">
        <f t="shared" si="8"/>
        <v>0.38519714916775522</v>
      </c>
      <c r="D289">
        <f t="shared" si="9"/>
        <v>1.0506488935992169E-3</v>
      </c>
      <c r="E289" t="s">
        <v>23</v>
      </c>
      <c r="F289" t="s">
        <v>689</v>
      </c>
      <c r="G289" t="s">
        <v>24</v>
      </c>
      <c r="H289" t="s">
        <v>5</v>
      </c>
      <c r="I289" t="s">
        <v>16</v>
      </c>
      <c r="J289" t="s">
        <v>13</v>
      </c>
    </row>
    <row r="290" spans="1:10" x14ac:dyDescent="0.2">
      <c r="A290" t="s">
        <v>856</v>
      </c>
      <c r="B290">
        <v>0.26300000000000001</v>
      </c>
      <c r="C290">
        <f t="shared" si="8"/>
        <v>0.76874189731116027</v>
      </c>
      <c r="D290">
        <f t="shared" si="9"/>
        <v>2.0967907618692828E-3</v>
      </c>
      <c r="E290" t="s">
        <v>10</v>
      </c>
      <c r="F290" t="s">
        <v>689</v>
      </c>
      <c r="G290" t="s">
        <v>24</v>
      </c>
      <c r="H290" t="s">
        <v>5</v>
      </c>
      <c r="I290" t="s">
        <v>16</v>
      </c>
      <c r="J290" t="s">
        <v>13</v>
      </c>
    </row>
    <row r="291" spans="1:10" x14ac:dyDescent="0.2">
      <c r="A291" t="s">
        <v>872</v>
      </c>
      <c r="B291">
        <v>1.1160000000000001</v>
      </c>
      <c r="C291">
        <f t="shared" si="8"/>
        <v>0.32758752752368953</v>
      </c>
      <c r="D291">
        <f t="shared" si="9"/>
        <v>8.9351511062138098E-4</v>
      </c>
      <c r="E291" t="s">
        <v>11</v>
      </c>
      <c r="F291" t="s">
        <v>689</v>
      </c>
      <c r="G291" t="s">
        <v>24</v>
      </c>
      <c r="H291" t="s">
        <v>5</v>
      </c>
      <c r="I291" t="s">
        <v>16</v>
      </c>
      <c r="J291" t="s">
        <v>13</v>
      </c>
    </row>
    <row r="292" spans="1:10" x14ac:dyDescent="0.2">
      <c r="A292" t="s">
        <v>908</v>
      </c>
      <c r="B292">
        <v>0.26300000000000001</v>
      </c>
      <c r="C292">
        <f t="shared" si="8"/>
        <v>0.76874189731116027</v>
      </c>
      <c r="D292">
        <f t="shared" si="9"/>
        <v>2.0967907618692828E-3</v>
      </c>
      <c r="E292" t="s">
        <v>22</v>
      </c>
      <c r="F292" t="s">
        <v>689</v>
      </c>
      <c r="G292" t="s">
        <v>24</v>
      </c>
      <c r="H292" t="s">
        <v>5</v>
      </c>
      <c r="I292" t="s">
        <v>16</v>
      </c>
      <c r="J292" t="s">
        <v>13</v>
      </c>
    </row>
    <row r="293" spans="1:10" x14ac:dyDescent="0.2">
      <c r="A293" t="s">
        <v>942</v>
      </c>
      <c r="B293">
        <v>0.26300000000000001</v>
      </c>
      <c r="C293">
        <f t="shared" si="8"/>
        <v>0.76874189731116027</v>
      </c>
      <c r="D293">
        <f t="shared" si="9"/>
        <v>2.0967907618692828E-3</v>
      </c>
      <c r="E293" t="s">
        <v>2</v>
      </c>
      <c r="F293" t="s">
        <v>689</v>
      </c>
      <c r="G293" t="s">
        <v>24</v>
      </c>
      <c r="H293" t="s">
        <v>5</v>
      </c>
      <c r="I293" t="s">
        <v>16</v>
      </c>
      <c r="J293" t="s">
        <v>13</v>
      </c>
    </row>
    <row r="294" spans="1:10" x14ac:dyDescent="0.2">
      <c r="A294" t="s">
        <v>992</v>
      </c>
      <c r="B294">
        <v>0.26300000000000001</v>
      </c>
      <c r="C294">
        <f t="shared" si="8"/>
        <v>0.76874189731116027</v>
      </c>
      <c r="D294">
        <f t="shared" si="9"/>
        <v>2.0967907618692828E-3</v>
      </c>
      <c r="E294" t="s">
        <v>16</v>
      </c>
      <c r="F294" t="s">
        <v>689</v>
      </c>
      <c r="G294" t="s">
        <v>24</v>
      </c>
      <c r="H294" t="s">
        <v>5</v>
      </c>
      <c r="I294" t="s">
        <v>16</v>
      </c>
      <c r="J294" t="s">
        <v>13</v>
      </c>
    </row>
    <row r="295" spans="1:10" x14ac:dyDescent="0.2">
      <c r="A295" t="s">
        <v>1038</v>
      </c>
      <c r="B295">
        <v>0.71499999999999997</v>
      </c>
      <c r="C295">
        <f t="shared" si="8"/>
        <v>0.48919211179633154</v>
      </c>
      <c r="D295">
        <f t="shared" si="9"/>
        <v>1.3343015443565602E-3</v>
      </c>
      <c r="E295" t="s">
        <v>17</v>
      </c>
      <c r="F295" t="s">
        <v>689</v>
      </c>
      <c r="G295" t="s">
        <v>24</v>
      </c>
      <c r="H295" t="s">
        <v>5</v>
      </c>
      <c r="I295" t="s">
        <v>16</v>
      </c>
      <c r="J295" t="s">
        <v>13</v>
      </c>
    </row>
    <row r="296" spans="1:10" x14ac:dyDescent="0.2">
      <c r="A296" t="s">
        <v>1050</v>
      </c>
      <c r="B296">
        <v>0.26300000000000001</v>
      </c>
      <c r="C296">
        <f t="shared" si="8"/>
        <v>0.76874189731116027</v>
      </c>
      <c r="D296">
        <f t="shared" si="9"/>
        <v>2.0967907618692828E-3</v>
      </c>
      <c r="E296" t="s">
        <v>18</v>
      </c>
      <c r="F296" t="s">
        <v>689</v>
      </c>
      <c r="G296" t="s">
        <v>24</v>
      </c>
      <c r="H296" t="s">
        <v>5</v>
      </c>
      <c r="I296" t="s">
        <v>16</v>
      </c>
      <c r="J296" t="s">
        <v>13</v>
      </c>
    </row>
    <row r="297" spans="1:10" x14ac:dyDescent="0.2">
      <c r="A297" t="s">
        <v>1073</v>
      </c>
      <c r="B297">
        <v>3.2530000000000001</v>
      </c>
      <c r="C297">
        <f t="shared" si="8"/>
        <v>3.8658059517808929E-2</v>
      </c>
      <c r="D297">
        <f t="shared" si="9"/>
        <v>1.0544223276011355E-4</v>
      </c>
      <c r="E297" t="s">
        <v>19</v>
      </c>
      <c r="F297" t="s">
        <v>689</v>
      </c>
      <c r="G297" t="s">
        <v>24</v>
      </c>
      <c r="H297" t="s">
        <v>5</v>
      </c>
      <c r="I297" t="s">
        <v>16</v>
      </c>
      <c r="J297" t="s">
        <v>13</v>
      </c>
    </row>
    <row r="298" spans="1:10" x14ac:dyDescent="0.2">
      <c r="A298" t="s">
        <v>1098</v>
      </c>
      <c r="B298">
        <v>0.91600000000000004</v>
      </c>
      <c r="C298">
        <f t="shared" si="8"/>
        <v>0.40011630965630496</v>
      </c>
      <c r="D298">
        <f t="shared" si="9"/>
        <v>1.091341820570744E-3</v>
      </c>
      <c r="E298" t="s">
        <v>20</v>
      </c>
      <c r="F298" t="s">
        <v>689</v>
      </c>
      <c r="G298" t="s">
        <v>24</v>
      </c>
      <c r="H298" t="s">
        <v>5</v>
      </c>
      <c r="I298" t="s">
        <v>16</v>
      </c>
      <c r="J298" t="s">
        <v>13</v>
      </c>
    </row>
    <row r="299" spans="1:10" x14ac:dyDescent="0.2">
      <c r="A299" t="s">
        <v>798</v>
      </c>
      <c r="B299">
        <v>1.6439999999999999</v>
      </c>
      <c r="C299">
        <f t="shared" si="8"/>
        <v>0.1932056718950137</v>
      </c>
      <c r="D299">
        <f t="shared" si="9"/>
        <v>5.2698034202009565E-4</v>
      </c>
      <c r="E299" t="s">
        <v>26</v>
      </c>
      <c r="F299" t="s">
        <v>689</v>
      </c>
      <c r="G299" t="s">
        <v>12</v>
      </c>
      <c r="H299" t="s">
        <v>5</v>
      </c>
      <c r="I299" t="s">
        <v>16</v>
      </c>
      <c r="J299" t="s">
        <v>13</v>
      </c>
    </row>
    <row r="300" spans="1:10" x14ac:dyDescent="0.2">
      <c r="A300" t="s">
        <v>891</v>
      </c>
      <c r="B300">
        <v>0</v>
      </c>
      <c r="C300">
        <f t="shared" si="8"/>
        <v>1</v>
      </c>
      <c r="D300">
        <f t="shared" si="9"/>
        <v>2.7275614470907055E-3</v>
      </c>
      <c r="E300" t="s">
        <v>12</v>
      </c>
      <c r="F300" t="s">
        <v>689</v>
      </c>
      <c r="G300" t="s">
        <v>12</v>
      </c>
      <c r="H300" t="s">
        <v>5</v>
      </c>
      <c r="I300" t="s">
        <v>16</v>
      </c>
      <c r="J300" t="s">
        <v>13</v>
      </c>
    </row>
    <row r="301" spans="1:10" x14ac:dyDescent="0.2">
      <c r="A301" t="s">
        <v>927</v>
      </c>
      <c r="B301">
        <v>0</v>
      </c>
      <c r="C301">
        <f t="shared" si="8"/>
        <v>1</v>
      </c>
      <c r="D301">
        <f t="shared" si="9"/>
        <v>2.7275614470907055E-3</v>
      </c>
      <c r="E301" t="s">
        <v>13</v>
      </c>
      <c r="F301" t="s">
        <v>689</v>
      </c>
      <c r="G301" t="s">
        <v>12</v>
      </c>
      <c r="H301" t="s">
        <v>5</v>
      </c>
      <c r="I301" t="s">
        <v>16</v>
      </c>
      <c r="J301" t="s">
        <v>13</v>
      </c>
    </row>
    <row r="302" spans="1:10" x14ac:dyDescent="0.2">
      <c r="A302" t="s">
        <v>1017</v>
      </c>
      <c r="B302">
        <v>1.28</v>
      </c>
      <c r="C302">
        <f t="shared" si="8"/>
        <v>0.27803730045319414</v>
      </c>
      <c r="D302">
        <f t="shared" si="9"/>
        <v>7.5836382156930756E-4</v>
      </c>
      <c r="E302" t="s">
        <v>25</v>
      </c>
      <c r="F302" t="s">
        <v>689</v>
      </c>
      <c r="G302" t="s">
        <v>12</v>
      </c>
      <c r="H302" t="s">
        <v>5</v>
      </c>
      <c r="I302" t="s">
        <v>16</v>
      </c>
      <c r="J302" t="s">
        <v>13</v>
      </c>
    </row>
    <row r="303" spans="1:10" x14ac:dyDescent="0.2">
      <c r="A303" t="s">
        <v>1040</v>
      </c>
      <c r="B303">
        <v>0.45200000000000001</v>
      </c>
      <c r="C303">
        <f t="shared" si="8"/>
        <v>0.63635416972508707</v>
      </c>
      <c r="D303">
        <f t="shared" si="9"/>
        <v>1.7356951000375631E-3</v>
      </c>
      <c r="E303" t="s">
        <v>17</v>
      </c>
      <c r="F303" t="s">
        <v>689</v>
      </c>
      <c r="G303" t="s">
        <v>12</v>
      </c>
      <c r="H303" t="s">
        <v>5</v>
      </c>
      <c r="I303" t="s">
        <v>16</v>
      </c>
      <c r="J303" t="s">
        <v>13</v>
      </c>
    </row>
    <row r="304" spans="1:10" x14ac:dyDescent="0.2">
      <c r="A304" t="s">
        <v>1076</v>
      </c>
      <c r="B304">
        <v>2.99</v>
      </c>
      <c r="C304">
        <f t="shared" si="8"/>
        <v>5.0287436723591865E-2</v>
      </c>
      <c r="D304">
        <f t="shared" si="9"/>
        <v>1.3716207368028252E-4</v>
      </c>
      <c r="E304" t="s">
        <v>19</v>
      </c>
      <c r="F304" t="s">
        <v>689</v>
      </c>
      <c r="G304" t="s">
        <v>12</v>
      </c>
      <c r="H304" t="s">
        <v>5</v>
      </c>
      <c r="I304" t="s">
        <v>16</v>
      </c>
      <c r="J304" t="s">
        <v>13</v>
      </c>
    </row>
    <row r="305" spans="1:10" x14ac:dyDescent="0.2">
      <c r="A305" t="s">
        <v>799</v>
      </c>
      <c r="B305">
        <v>1.6439999999999999</v>
      </c>
      <c r="C305">
        <f t="shared" si="8"/>
        <v>0.1932056718950137</v>
      </c>
      <c r="D305">
        <f t="shared" si="9"/>
        <v>5.2698034202009565E-4</v>
      </c>
      <c r="E305" t="s">
        <v>26</v>
      </c>
      <c r="F305" t="s">
        <v>689</v>
      </c>
      <c r="G305" t="s">
        <v>2</v>
      </c>
      <c r="H305" t="s">
        <v>5</v>
      </c>
      <c r="I305" t="s">
        <v>16</v>
      </c>
      <c r="J305" t="s">
        <v>13</v>
      </c>
    </row>
    <row r="306" spans="1:10" x14ac:dyDescent="0.2">
      <c r="A306" t="s">
        <v>817</v>
      </c>
      <c r="B306">
        <v>0.26300000000000001</v>
      </c>
      <c r="C306">
        <f t="shared" si="8"/>
        <v>0.76874189731116027</v>
      </c>
      <c r="D306">
        <f t="shared" si="9"/>
        <v>2.0967907618692828E-3</v>
      </c>
      <c r="E306" t="s">
        <v>24</v>
      </c>
      <c r="F306" t="s">
        <v>689</v>
      </c>
      <c r="G306" t="s">
        <v>2</v>
      </c>
      <c r="H306" t="s">
        <v>5</v>
      </c>
      <c r="I306" t="s">
        <v>16</v>
      </c>
      <c r="J306" t="s">
        <v>13</v>
      </c>
    </row>
    <row r="307" spans="1:10" x14ac:dyDescent="0.2">
      <c r="A307" t="s">
        <v>840</v>
      </c>
      <c r="B307">
        <v>0.69099999999999995</v>
      </c>
      <c r="C307">
        <f t="shared" si="8"/>
        <v>0.50107474370144889</v>
      </c>
      <c r="D307">
        <f t="shared" si="9"/>
        <v>1.3667121530309284E-3</v>
      </c>
      <c r="E307" t="s">
        <v>23</v>
      </c>
      <c r="F307" t="s">
        <v>689</v>
      </c>
      <c r="G307" t="s">
        <v>2</v>
      </c>
      <c r="H307" t="s">
        <v>5</v>
      </c>
      <c r="I307" t="s">
        <v>16</v>
      </c>
      <c r="J307" t="s">
        <v>13</v>
      </c>
    </row>
    <row r="308" spans="1:10" x14ac:dyDescent="0.2">
      <c r="A308" t="s">
        <v>911</v>
      </c>
      <c r="B308">
        <v>0</v>
      </c>
      <c r="C308">
        <f t="shared" si="8"/>
        <v>1</v>
      </c>
      <c r="D308">
        <f t="shared" si="9"/>
        <v>2.7275614470907055E-3</v>
      </c>
      <c r="E308" t="s">
        <v>22</v>
      </c>
      <c r="F308" t="s">
        <v>689</v>
      </c>
      <c r="G308" t="s">
        <v>2</v>
      </c>
      <c r="H308" t="s">
        <v>5</v>
      </c>
      <c r="I308" t="s">
        <v>16</v>
      </c>
      <c r="J308" t="s">
        <v>13</v>
      </c>
    </row>
    <row r="309" spans="1:10" x14ac:dyDescent="0.2">
      <c r="A309" t="s">
        <v>1018</v>
      </c>
      <c r="B309">
        <v>1.28</v>
      </c>
      <c r="C309">
        <f t="shared" si="8"/>
        <v>0.27803730045319414</v>
      </c>
      <c r="D309">
        <f t="shared" si="9"/>
        <v>7.5836382156930756E-4</v>
      </c>
      <c r="E309" t="s">
        <v>25</v>
      </c>
      <c r="F309" t="s">
        <v>689</v>
      </c>
      <c r="G309" t="s">
        <v>2</v>
      </c>
      <c r="H309" t="s">
        <v>5</v>
      </c>
      <c r="I309" t="s">
        <v>16</v>
      </c>
      <c r="J309" t="s">
        <v>13</v>
      </c>
    </row>
    <row r="310" spans="1:10" x14ac:dyDescent="0.2">
      <c r="A310" t="s">
        <v>1077</v>
      </c>
      <c r="B310">
        <v>2.99</v>
      </c>
      <c r="C310">
        <f t="shared" si="8"/>
        <v>5.0287436723591865E-2</v>
      </c>
      <c r="D310">
        <f t="shared" si="9"/>
        <v>1.3716207368028252E-4</v>
      </c>
      <c r="E310" t="s">
        <v>19</v>
      </c>
      <c r="F310" t="s">
        <v>689</v>
      </c>
      <c r="G310" t="s">
        <v>2</v>
      </c>
      <c r="H310" t="s">
        <v>5</v>
      </c>
      <c r="I310" t="s">
        <v>16</v>
      </c>
      <c r="J310" t="s">
        <v>13</v>
      </c>
    </row>
    <row r="311" spans="1:10" x14ac:dyDescent="0.2">
      <c r="A311" t="s">
        <v>1100</v>
      </c>
      <c r="B311">
        <v>0.65300000000000002</v>
      </c>
      <c r="C311">
        <f t="shared" si="8"/>
        <v>0.52048198628928322</v>
      </c>
      <c r="D311">
        <f t="shared" si="9"/>
        <v>1.4196465997078421E-3</v>
      </c>
      <c r="E311" t="s">
        <v>20</v>
      </c>
      <c r="F311" t="s">
        <v>689</v>
      </c>
      <c r="G311" t="s">
        <v>2</v>
      </c>
      <c r="H311" t="s">
        <v>5</v>
      </c>
      <c r="I311" t="s">
        <v>16</v>
      </c>
      <c r="J311" t="s">
        <v>13</v>
      </c>
    </row>
    <row r="312" spans="1:10" x14ac:dyDescent="0.2">
      <c r="A312" t="s">
        <v>737</v>
      </c>
      <c r="B312">
        <v>0</v>
      </c>
      <c r="C312">
        <f t="shared" si="8"/>
        <v>1</v>
      </c>
      <c r="D312">
        <f t="shared" si="9"/>
        <v>2.7275614470907055E-3</v>
      </c>
      <c r="E312" t="s">
        <v>0</v>
      </c>
      <c r="F312" t="s">
        <v>689</v>
      </c>
      <c r="G312" t="s">
        <v>1</v>
      </c>
      <c r="H312" t="s">
        <v>5</v>
      </c>
      <c r="I312" t="s">
        <v>16</v>
      </c>
      <c r="J312" t="s">
        <v>13</v>
      </c>
    </row>
    <row r="313" spans="1:10" x14ac:dyDescent="0.2">
      <c r="A313" t="s">
        <v>758</v>
      </c>
      <c r="B313">
        <v>0.377</v>
      </c>
      <c r="C313">
        <f t="shared" si="8"/>
        <v>0.68591607389602016</v>
      </c>
      <c r="D313">
        <f t="shared" si="9"/>
        <v>1.8708782390986041E-3</v>
      </c>
      <c r="E313" t="s">
        <v>8</v>
      </c>
      <c r="F313" t="s">
        <v>689</v>
      </c>
      <c r="G313" t="s">
        <v>1</v>
      </c>
      <c r="H313" t="s">
        <v>5</v>
      </c>
      <c r="I313" t="s">
        <v>16</v>
      </c>
      <c r="J313" t="s">
        <v>13</v>
      </c>
    </row>
    <row r="314" spans="1:10" x14ac:dyDescent="0.2">
      <c r="A314" t="s">
        <v>800</v>
      </c>
      <c r="B314">
        <v>1.6439999999999999</v>
      </c>
      <c r="C314">
        <f t="shared" si="8"/>
        <v>0.1932056718950137</v>
      </c>
      <c r="D314">
        <f t="shared" si="9"/>
        <v>5.2698034202009565E-4</v>
      </c>
      <c r="E314" t="s">
        <v>26</v>
      </c>
      <c r="F314" t="s">
        <v>689</v>
      </c>
      <c r="G314" t="s">
        <v>1</v>
      </c>
      <c r="H314" t="s">
        <v>5</v>
      </c>
      <c r="I314" t="s">
        <v>16</v>
      </c>
      <c r="J314" t="s">
        <v>13</v>
      </c>
    </row>
    <row r="315" spans="1:10" x14ac:dyDescent="0.2">
      <c r="A315" t="s">
        <v>818</v>
      </c>
      <c r="B315">
        <v>0.26300000000000001</v>
      </c>
      <c r="C315">
        <f t="shared" si="8"/>
        <v>0.76874189731116027</v>
      </c>
      <c r="D315">
        <f t="shared" si="9"/>
        <v>2.0967907618692828E-3</v>
      </c>
      <c r="E315" t="s">
        <v>24</v>
      </c>
      <c r="F315" t="s">
        <v>689</v>
      </c>
      <c r="G315" t="s">
        <v>1</v>
      </c>
      <c r="H315" t="s">
        <v>5</v>
      </c>
      <c r="I315" t="s">
        <v>16</v>
      </c>
      <c r="J315" t="s">
        <v>13</v>
      </c>
    </row>
    <row r="316" spans="1:10" x14ac:dyDescent="0.2">
      <c r="A316" t="s">
        <v>1019</v>
      </c>
      <c r="B316">
        <v>1.28</v>
      </c>
      <c r="C316">
        <f t="shared" si="8"/>
        <v>0.27803730045319414</v>
      </c>
      <c r="D316">
        <f t="shared" si="9"/>
        <v>7.5836382156930756E-4</v>
      </c>
      <c r="E316" t="s">
        <v>25</v>
      </c>
      <c r="F316" t="s">
        <v>689</v>
      </c>
      <c r="G316" t="s">
        <v>1</v>
      </c>
      <c r="H316" t="s">
        <v>5</v>
      </c>
      <c r="I316" t="s">
        <v>16</v>
      </c>
      <c r="J316" t="s">
        <v>13</v>
      </c>
    </row>
    <row r="317" spans="1:10" x14ac:dyDescent="0.2">
      <c r="A317" t="s">
        <v>1041</v>
      </c>
      <c r="B317">
        <v>0.45200000000000001</v>
      </c>
      <c r="C317">
        <f t="shared" si="8"/>
        <v>0.63635416972508707</v>
      </c>
      <c r="D317">
        <f t="shared" si="9"/>
        <v>1.7356951000375631E-3</v>
      </c>
      <c r="E317" t="s">
        <v>17</v>
      </c>
      <c r="F317" t="s">
        <v>689</v>
      </c>
      <c r="G317" t="s">
        <v>1</v>
      </c>
      <c r="H317" t="s">
        <v>5</v>
      </c>
      <c r="I317" t="s">
        <v>16</v>
      </c>
      <c r="J317" t="s">
        <v>13</v>
      </c>
    </row>
    <row r="318" spans="1:10" x14ac:dyDescent="0.2">
      <c r="A318" t="s">
        <v>1078</v>
      </c>
      <c r="B318">
        <v>2.99</v>
      </c>
      <c r="C318">
        <f t="shared" si="8"/>
        <v>5.0287436723591865E-2</v>
      </c>
      <c r="D318">
        <f t="shared" si="9"/>
        <v>1.3716207368028252E-4</v>
      </c>
      <c r="E318" t="s">
        <v>19</v>
      </c>
      <c r="F318" t="s">
        <v>689</v>
      </c>
      <c r="G318" t="s">
        <v>1</v>
      </c>
      <c r="H318" t="s">
        <v>5</v>
      </c>
      <c r="I318" t="s">
        <v>16</v>
      </c>
      <c r="J318" t="s">
        <v>13</v>
      </c>
    </row>
    <row r="319" spans="1:10" x14ac:dyDescent="0.2">
      <c r="A319" t="s">
        <v>1101</v>
      </c>
      <c r="B319">
        <v>0.65300000000000002</v>
      </c>
      <c r="C319">
        <f t="shared" si="8"/>
        <v>0.52048198628928322</v>
      </c>
      <c r="D319">
        <f t="shared" si="9"/>
        <v>1.4196465997078421E-3</v>
      </c>
      <c r="E319" t="s">
        <v>20</v>
      </c>
      <c r="F319" t="s">
        <v>689</v>
      </c>
      <c r="G319" t="s">
        <v>1</v>
      </c>
      <c r="H319" t="s">
        <v>5</v>
      </c>
      <c r="I319" t="s">
        <v>16</v>
      </c>
      <c r="J319" t="s">
        <v>13</v>
      </c>
    </row>
    <row r="320" spans="1:10" x14ac:dyDescent="0.2">
      <c r="A320" t="s">
        <v>738</v>
      </c>
      <c r="B320">
        <v>1.2050000000000001</v>
      </c>
      <c r="C320">
        <f t="shared" si="8"/>
        <v>0.29969199951324632</v>
      </c>
      <c r="D320">
        <f t="shared" si="9"/>
        <v>8.1742834387385716E-4</v>
      </c>
      <c r="E320" t="s">
        <v>0</v>
      </c>
      <c r="F320" t="s">
        <v>689</v>
      </c>
      <c r="G320" t="s">
        <v>15</v>
      </c>
      <c r="H320" t="s">
        <v>5</v>
      </c>
      <c r="I320" t="s">
        <v>16</v>
      </c>
      <c r="J320" t="s">
        <v>13</v>
      </c>
    </row>
    <row r="321" spans="1:10" x14ac:dyDescent="0.2">
      <c r="A321" t="s">
        <v>759</v>
      </c>
      <c r="B321">
        <v>1.583</v>
      </c>
      <c r="C321">
        <f t="shared" si="8"/>
        <v>0.20535809887201756</v>
      </c>
      <c r="D321">
        <f t="shared" si="9"/>
        <v>5.6012683333115645E-4</v>
      </c>
      <c r="E321" t="s">
        <v>8</v>
      </c>
      <c r="F321" t="s">
        <v>689</v>
      </c>
      <c r="G321" t="s">
        <v>15</v>
      </c>
      <c r="H321" t="s">
        <v>5</v>
      </c>
      <c r="I321" t="s">
        <v>16</v>
      </c>
      <c r="J321" t="s">
        <v>13</v>
      </c>
    </row>
    <row r="322" spans="1:10" x14ac:dyDescent="0.2">
      <c r="A322" t="s">
        <v>772</v>
      </c>
      <c r="B322">
        <v>1.2050000000000001</v>
      </c>
      <c r="C322">
        <f t="shared" si="8"/>
        <v>0.29969199951324632</v>
      </c>
      <c r="D322">
        <f t="shared" si="9"/>
        <v>8.1742834387385716E-4</v>
      </c>
      <c r="E322" t="s">
        <v>9</v>
      </c>
      <c r="F322" t="s">
        <v>689</v>
      </c>
      <c r="G322" t="s">
        <v>15</v>
      </c>
      <c r="H322" t="s">
        <v>5</v>
      </c>
      <c r="I322" t="s">
        <v>16</v>
      </c>
      <c r="J322" t="s">
        <v>13</v>
      </c>
    </row>
    <row r="323" spans="1:10" x14ac:dyDescent="0.2">
      <c r="A323" t="s">
        <v>801</v>
      </c>
      <c r="B323">
        <v>2.85</v>
      </c>
      <c r="C323">
        <f t="shared" ref="C323:C386" si="10">EXP(-B323)</f>
        <v>5.7844320874838456E-2</v>
      </c>
      <c r="D323">
        <f t="shared" ref="D323:D386" si="11">C323/366.627854</f>
        <v>1.5777393955135349E-4</v>
      </c>
      <c r="E323" t="s">
        <v>26</v>
      </c>
      <c r="F323" t="s">
        <v>689</v>
      </c>
      <c r="G323" t="s">
        <v>15</v>
      </c>
      <c r="H323" t="s">
        <v>5</v>
      </c>
      <c r="I323" t="s">
        <v>16</v>
      </c>
      <c r="J323" t="s">
        <v>13</v>
      </c>
    </row>
    <row r="324" spans="1:10" x14ac:dyDescent="0.2">
      <c r="A324" t="s">
        <v>819</v>
      </c>
      <c r="B324">
        <v>1.4690000000000001</v>
      </c>
      <c r="C324">
        <f t="shared" si="10"/>
        <v>0.23015552567298364</v>
      </c>
      <c r="D324">
        <f t="shared" si="11"/>
        <v>6.2776333866052534E-4</v>
      </c>
      <c r="E324" t="s">
        <v>24</v>
      </c>
      <c r="F324" t="s">
        <v>689</v>
      </c>
      <c r="G324" t="s">
        <v>15</v>
      </c>
      <c r="H324" t="s">
        <v>5</v>
      </c>
      <c r="I324" t="s">
        <v>16</v>
      </c>
      <c r="J324" t="s">
        <v>13</v>
      </c>
    </row>
    <row r="325" spans="1:10" x14ac:dyDescent="0.2">
      <c r="A325" t="s">
        <v>841</v>
      </c>
      <c r="B325">
        <v>1.897</v>
      </c>
      <c r="C325">
        <f t="shared" si="10"/>
        <v>0.15001799881265335</v>
      </c>
      <c r="D325">
        <f t="shared" si="11"/>
        <v>4.0918330993109254E-4</v>
      </c>
      <c r="E325" t="s">
        <v>23</v>
      </c>
      <c r="F325" t="s">
        <v>689</v>
      </c>
      <c r="G325" t="s">
        <v>15</v>
      </c>
      <c r="H325" t="s">
        <v>5</v>
      </c>
      <c r="I325" t="s">
        <v>16</v>
      </c>
      <c r="J325" t="s">
        <v>13</v>
      </c>
    </row>
    <row r="326" spans="1:10" x14ac:dyDescent="0.2">
      <c r="A326" t="s">
        <v>875</v>
      </c>
      <c r="B326">
        <v>2.0579999999999998</v>
      </c>
      <c r="C326">
        <f t="shared" si="10"/>
        <v>0.12770913291257383</v>
      </c>
      <c r="D326">
        <f t="shared" si="11"/>
        <v>3.483345073737191E-4</v>
      </c>
      <c r="E326" t="s">
        <v>11</v>
      </c>
      <c r="F326" t="s">
        <v>689</v>
      </c>
      <c r="G326" t="s">
        <v>15</v>
      </c>
      <c r="H326" t="s">
        <v>5</v>
      </c>
      <c r="I326" t="s">
        <v>16</v>
      </c>
      <c r="J326" t="s">
        <v>13</v>
      </c>
    </row>
    <row r="327" spans="1:10" x14ac:dyDescent="0.2">
      <c r="A327" t="s">
        <v>912</v>
      </c>
      <c r="B327">
        <v>1.2050000000000001</v>
      </c>
      <c r="C327">
        <f t="shared" si="10"/>
        <v>0.29969199951324632</v>
      </c>
      <c r="D327">
        <f t="shared" si="11"/>
        <v>8.1742834387385716E-4</v>
      </c>
      <c r="E327" t="s">
        <v>22</v>
      </c>
      <c r="F327" t="s">
        <v>689</v>
      </c>
      <c r="G327" t="s">
        <v>15</v>
      </c>
      <c r="H327" t="s">
        <v>5</v>
      </c>
      <c r="I327" t="s">
        <v>16</v>
      </c>
      <c r="J327" t="s">
        <v>13</v>
      </c>
    </row>
    <row r="328" spans="1:10" x14ac:dyDescent="0.2">
      <c r="A328" t="s">
        <v>928</v>
      </c>
      <c r="B328">
        <v>1.2050000000000001</v>
      </c>
      <c r="C328">
        <f t="shared" si="10"/>
        <v>0.29969199951324632</v>
      </c>
      <c r="D328">
        <f t="shared" si="11"/>
        <v>8.1742834387385716E-4</v>
      </c>
      <c r="E328" t="s">
        <v>13</v>
      </c>
      <c r="F328" t="s">
        <v>689</v>
      </c>
      <c r="G328" t="s">
        <v>15</v>
      </c>
      <c r="H328" t="s">
        <v>5</v>
      </c>
      <c r="I328" t="s">
        <v>16</v>
      </c>
      <c r="J328" t="s">
        <v>13</v>
      </c>
    </row>
    <row r="329" spans="1:10" x14ac:dyDescent="0.2">
      <c r="A329" t="s">
        <v>944</v>
      </c>
      <c r="B329">
        <v>1.2050000000000001</v>
      </c>
      <c r="C329">
        <f t="shared" si="10"/>
        <v>0.29969199951324632</v>
      </c>
      <c r="D329">
        <f t="shared" si="11"/>
        <v>8.1742834387385716E-4</v>
      </c>
      <c r="E329" t="s">
        <v>2</v>
      </c>
      <c r="F329" t="s">
        <v>689</v>
      </c>
      <c r="G329" t="s">
        <v>15</v>
      </c>
      <c r="H329" t="s">
        <v>5</v>
      </c>
      <c r="I329" t="s">
        <v>16</v>
      </c>
      <c r="J329" t="s">
        <v>13</v>
      </c>
    </row>
    <row r="330" spans="1:10" x14ac:dyDescent="0.2">
      <c r="A330" t="s">
        <v>950</v>
      </c>
      <c r="B330">
        <v>1.2050000000000001</v>
      </c>
      <c r="C330">
        <f t="shared" si="10"/>
        <v>0.29969199951324632</v>
      </c>
      <c r="D330">
        <f t="shared" si="11"/>
        <v>8.1742834387385716E-4</v>
      </c>
      <c r="E330" t="s">
        <v>14</v>
      </c>
      <c r="F330" t="s">
        <v>689</v>
      </c>
      <c r="G330" t="s">
        <v>15</v>
      </c>
      <c r="H330" t="s">
        <v>5</v>
      </c>
      <c r="I330" t="s">
        <v>16</v>
      </c>
      <c r="J330" t="s">
        <v>13</v>
      </c>
    </row>
    <row r="331" spans="1:10" x14ac:dyDescent="0.2">
      <c r="A331" t="s">
        <v>961</v>
      </c>
      <c r="B331">
        <v>1.2050000000000001</v>
      </c>
      <c r="C331">
        <f t="shared" si="10"/>
        <v>0.29969199951324632</v>
      </c>
      <c r="D331">
        <f t="shared" si="11"/>
        <v>8.1742834387385716E-4</v>
      </c>
      <c r="E331" t="s">
        <v>1</v>
      </c>
      <c r="F331" t="s">
        <v>689</v>
      </c>
      <c r="G331" t="s">
        <v>15</v>
      </c>
      <c r="H331" t="s">
        <v>5</v>
      </c>
      <c r="I331" t="s">
        <v>16</v>
      </c>
      <c r="J331" t="s">
        <v>13</v>
      </c>
    </row>
    <row r="332" spans="1:10" x14ac:dyDescent="0.2">
      <c r="A332" t="s">
        <v>994</v>
      </c>
      <c r="B332">
        <v>1.2050000000000001</v>
      </c>
      <c r="C332">
        <f t="shared" si="10"/>
        <v>0.29969199951324632</v>
      </c>
      <c r="D332">
        <f t="shared" si="11"/>
        <v>8.1742834387385716E-4</v>
      </c>
      <c r="E332" t="s">
        <v>16</v>
      </c>
      <c r="F332" t="s">
        <v>689</v>
      </c>
      <c r="G332" t="s">
        <v>15</v>
      </c>
      <c r="H332" t="s">
        <v>5</v>
      </c>
      <c r="I332" t="s">
        <v>16</v>
      </c>
      <c r="J332" t="s">
        <v>13</v>
      </c>
    </row>
    <row r="333" spans="1:10" x14ac:dyDescent="0.2">
      <c r="A333" t="s">
        <v>1020</v>
      </c>
      <c r="B333">
        <v>2.4860000000000002</v>
      </c>
      <c r="C333">
        <f t="shared" si="10"/>
        <v>8.3242270606464011E-2</v>
      </c>
      <c r="D333">
        <f t="shared" si="11"/>
        <v>2.270484080744831E-4</v>
      </c>
      <c r="E333" t="s">
        <v>25</v>
      </c>
      <c r="F333" t="s">
        <v>689</v>
      </c>
      <c r="G333" t="s">
        <v>15</v>
      </c>
      <c r="H333" t="s">
        <v>5</v>
      </c>
      <c r="I333" t="s">
        <v>16</v>
      </c>
      <c r="J333" t="s">
        <v>13</v>
      </c>
    </row>
    <row r="334" spans="1:10" x14ac:dyDescent="0.2">
      <c r="A334" t="s">
        <v>1042</v>
      </c>
      <c r="B334">
        <v>1.657</v>
      </c>
      <c r="C334">
        <f t="shared" si="10"/>
        <v>0.19071025352350304</v>
      </c>
      <c r="D334">
        <f t="shared" si="11"/>
        <v>5.2017393507560134E-4</v>
      </c>
      <c r="E334" t="s">
        <v>17</v>
      </c>
      <c r="F334" t="s">
        <v>689</v>
      </c>
      <c r="G334" t="s">
        <v>15</v>
      </c>
      <c r="H334" t="s">
        <v>5</v>
      </c>
      <c r="I334" t="s">
        <v>16</v>
      </c>
      <c r="J334" t="s">
        <v>13</v>
      </c>
    </row>
    <row r="335" spans="1:10" x14ac:dyDescent="0.2">
      <c r="A335" t="s">
        <v>1052</v>
      </c>
      <c r="B335">
        <v>1.2050000000000001</v>
      </c>
      <c r="C335">
        <f t="shared" si="10"/>
        <v>0.29969199951324632</v>
      </c>
      <c r="D335">
        <f t="shared" si="11"/>
        <v>8.1742834387385716E-4</v>
      </c>
      <c r="E335" t="s">
        <v>18</v>
      </c>
      <c r="F335" t="s">
        <v>689</v>
      </c>
      <c r="G335" t="s">
        <v>15</v>
      </c>
      <c r="H335" t="s">
        <v>5</v>
      </c>
      <c r="I335" t="s">
        <v>16</v>
      </c>
      <c r="J335" t="s">
        <v>13</v>
      </c>
    </row>
    <row r="336" spans="1:10" x14ac:dyDescent="0.2">
      <c r="A336" t="s">
        <v>1079</v>
      </c>
      <c r="B336">
        <v>4.1950000000000003</v>
      </c>
      <c r="C336">
        <f t="shared" si="10"/>
        <v>1.5070742462089098E-2</v>
      </c>
      <c r="D336">
        <f t="shared" si="11"/>
        <v>4.1106376118627084E-5</v>
      </c>
      <c r="E336" t="s">
        <v>19</v>
      </c>
      <c r="F336" t="s">
        <v>689</v>
      </c>
      <c r="G336" t="s">
        <v>15</v>
      </c>
      <c r="H336" t="s">
        <v>5</v>
      </c>
      <c r="I336" t="s">
        <v>16</v>
      </c>
      <c r="J336" t="s">
        <v>13</v>
      </c>
    </row>
    <row r="337" spans="1:10" x14ac:dyDescent="0.2">
      <c r="A337" t="s">
        <v>1102</v>
      </c>
      <c r="B337">
        <v>1.8580000000000001</v>
      </c>
      <c r="C337">
        <f t="shared" si="10"/>
        <v>0.15598428718166135</v>
      </c>
      <c r="D337">
        <f t="shared" si="11"/>
        <v>4.2545672806862443E-4</v>
      </c>
      <c r="E337" t="s">
        <v>20</v>
      </c>
      <c r="F337" t="s">
        <v>689</v>
      </c>
      <c r="G337" t="s">
        <v>15</v>
      </c>
      <c r="H337" t="s">
        <v>5</v>
      </c>
      <c r="I337" t="s">
        <v>16</v>
      </c>
      <c r="J337" t="s">
        <v>13</v>
      </c>
    </row>
    <row r="338" spans="1:10" x14ac:dyDescent="0.2">
      <c r="A338" t="s">
        <v>802</v>
      </c>
      <c r="B338">
        <v>1.6439999999999999</v>
      </c>
      <c r="C338">
        <f t="shared" si="10"/>
        <v>0.1932056718950137</v>
      </c>
      <c r="D338">
        <f t="shared" si="11"/>
        <v>5.2698034202009565E-4</v>
      </c>
      <c r="E338" t="s">
        <v>26</v>
      </c>
      <c r="F338" t="s">
        <v>689</v>
      </c>
      <c r="G338" t="s">
        <v>16</v>
      </c>
      <c r="H338" t="s">
        <v>5</v>
      </c>
      <c r="I338" t="s">
        <v>16</v>
      </c>
      <c r="J338" t="s">
        <v>13</v>
      </c>
    </row>
    <row r="339" spans="1:10" x14ac:dyDescent="0.2">
      <c r="A339" t="s">
        <v>842</v>
      </c>
      <c r="B339">
        <v>0.69099999999999995</v>
      </c>
      <c r="C339">
        <f t="shared" si="10"/>
        <v>0.50107474370144889</v>
      </c>
      <c r="D339">
        <f t="shared" si="11"/>
        <v>1.3667121530309284E-3</v>
      </c>
      <c r="E339" t="s">
        <v>23</v>
      </c>
      <c r="F339" t="s">
        <v>689</v>
      </c>
      <c r="G339" t="s">
        <v>16</v>
      </c>
      <c r="H339" t="s">
        <v>5</v>
      </c>
      <c r="I339" t="s">
        <v>16</v>
      </c>
      <c r="J339" t="s">
        <v>13</v>
      </c>
    </row>
    <row r="340" spans="1:10" x14ac:dyDescent="0.2">
      <c r="A340" t="s">
        <v>876</v>
      </c>
      <c r="B340">
        <v>0.85299999999999998</v>
      </c>
      <c r="C340">
        <f t="shared" si="10"/>
        <v>0.42613460859814872</v>
      </c>
      <c r="D340">
        <f t="shared" si="11"/>
        <v>1.1623083296833979E-3</v>
      </c>
      <c r="E340" t="s">
        <v>11</v>
      </c>
      <c r="F340" t="s">
        <v>689</v>
      </c>
      <c r="G340" t="s">
        <v>16</v>
      </c>
      <c r="H340" t="s">
        <v>5</v>
      </c>
      <c r="I340" t="s">
        <v>16</v>
      </c>
      <c r="J340" t="s">
        <v>13</v>
      </c>
    </row>
    <row r="341" spans="1:10" x14ac:dyDescent="0.2">
      <c r="A341" t="s">
        <v>951</v>
      </c>
      <c r="B341">
        <v>0</v>
      </c>
      <c r="C341">
        <f t="shared" si="10"/>
        <v>1</v>
      </c>
      <c r="D341">
        <f t="shared" si="11"/>
        <v>2.7275614470907055E-3</v>
      </c>
      <c r="E341" t="s">
        <v>14</v>
      </c>
      <c r="F341" t="s">
        <v>689</v>
      </c>
      <c r="G341" t="s">
        <v>16</v>
      </c>
      <c r="H341" t="s">
        <v>5</v>
      </c>
      <c r="I341" t="s">
        <v>16</v>
      </c>
      <c r="J341" t="s">
        <v>13</v>
      </c>
    </row>
    <row r="342" spans="1:10" x14ac:dyDescent="0.2">
      <c r="A342" t="s">
        <v>1021</v>
      </c>
      <c r="B342">
        <v>1.28</v>
      </c>
      <c r="C342">
        <f t="shared" si="10"/>
        <v>0.27803730045319414</v>
      </c>
      <c r="D342">
        <f t="shared" si="11"/>
        <v>7.5836382156930756E-4</v>
      </c>
      <c r="E342" t="s">
        <v>25</v>
      </c>
      <c r="F342" t="s">
        <v>689</v>
      </c>
      <c r="G342" t="s">
        <v>16</v>
      </c>
      <c r="H342" t="s">
        <v>5</v>
      </c>
      <c r="I342" t="s">
        <v>16</v>
      </c>
      <c r="J342" t="s">
        <v>13</v>
      </c>
    </row>
    <row r="343" spans="1:10" x14ac:dyDescent="0.2">
      <c r="A343" t="s">
        <v>1080</v>
      </c>
      <c r="B343">
        <v>2.99</v>
      </c>
      <c r="C343">
        <f t="shared" si="10"/>
        <v>5.0287436723591865E-2</v>
      </c>
      <c r="D343">
        <f t="shared" si="11"/>
        <v>1.3716207368028252E-4</v>
      </c>
      <c r="E343" t="s">
        <v>19</v>
      </c>
      <c r="F343" t="s">
        <v>689</v>
      </c>
      <c r="G343" t="s">
        <v>16</v>
      </c>
      <c r="H343" t="s">
        <v>5</v>
      </c>
      <c r="I343" t="s">
        <v>16</v>
      </c>
      <c r="J343" t="s">
        <v>13</v>
      </c>
    </row>
    <row r="344" spans="1:10" x14ac:dyDescent="0.2">
      <c r="A344" t="s">
        <v>1103</v>
      </c>
      <c r="B344">
        <v>0.65300000000000002</v>
      </c>
      <c r="C344">
        <f t="shared" si="10"/>
        <v>0.52048198628928322</v>
      </c>
      <c r="D344">
        <f t="shared" si="11"/>
        <v>1.4196465997078421E-3</v>
      </c>
      <c r="E344" t="s">
        <v>20</v>
      </c>
      <c r="F344" t="s">
        <v>689</v>
      </c>
      <c r="G344" t="s">
        <v>16</v>
      </c>
      <c r="H344" t="s">
        <v>5</v>
      </c>
      <c r="I344" t="s">
        <v>16</v>
      </c>
      <c r="J344" t="s">
        <v>13</v>
      </c>
    </row>
    <row r="345" spans="1:10" x14ac:dyDescent="0.2">
      <c r="A345" t="s">
        <v>739</v>
      </c>
      <c r="B345">
        <v>0</v>
      </c>
      <c r="C345">
        <f t="shared" si="10"/>
        <v>1</v>
      </c>
      <c r="D345">
        <f t="shared" si="11"/>
        <v>2.7275614470907055E-3</v>
      </c>
      <c r="E345" t="s">
        <v>0</v>
      </c>
      <c r="F345" t="s">
        <v>689</v>
      </c>
      <c r="G345" t="s">
        <v>25</v>
      </c>
      <c r="H345" t="s">
        <v>5</v>
      </c>
      <c r="I345" t="s">
        <v>16</v>
      </c>
      <c r="J345" t="s">
        <v>13</v>
      </c>
    </row>
    <row r="346" spans="1:10" x14ac:dyDescent="0.2">
      <c r="A346" t="s">
        <v>760</v>
      </c>
      <c r="B346">
        <v>0.377</v>
      </c>
      <c r="C346">
        <f t="shared" si="10"/>
        <v>0.68591607389602016</v>
      </c>
      <c r="D346">
        <f t="shared" si="11"/>
        <v>1.8708782390986041E-3</v>
      </c>
      <c r="E346" t="s">
        <v>8</v>
      </c>
      <c r="F346" t="s">
        <v>689</v>
      </c>
      <c r="G346" t="s">
        <v>25</v>
      </c>
      <c r="H346" t="s">
        <v>5</v>
      </c>
      <c r="I346" t="s">
        <v>16</v>
      </c>
      <c r="J346" t="s">
        <v>13</v>
      </c>
    </row>
    <row r="347" spans="1:10" x14ac:dyDescent="0.2">
      <c r="A347" t="s">
        <v>773</v>
      </c>
      <c r="B347">
        <v>0</v>
      </c>
      <c r="C347">
        <f t="shared" si="10"/>
        <v>1</v>
      </c>
      <c r="D347">
        <f t="shared" si="11"/>
        <v>2.7275614470907055E-3</v>
      </c>
      <c r="E347" t="s">
        <v>9</v>
      </c>
      <c r="F347" t="s">
        <v>689</v>
      </c>
      <c r="G347" t="s">
        <v>25</v>
      </c>
      <c r="H347" t="s">
        <v>5</v>
      </c>
      <c r="I347" t="s">
        <v>16</v>
      </c>
      <c r="J347" t="s">
        <v>13</v>
      </c>
    </row>
    <row r="348" spans="1:10" x14ac:dyDescent="0.2">
      <c r="A348" t="s">
        <v>803</v>
      </c>
      <c r="B348">
        <v>1.6439999999999999</v>
      </c>
      <c r="C348">
        <f t="shared" si="10"/>
        <v>0.1932056718950137</v>
      </c>
      <c r="D348">
        <f t="shared" si="11"/>
        <v>5.2698034202009565E-4</v>
      </c>
      <c r="E348" t="s">
        <v>26</v>
      </c>
      <c r="F348" t="s">
        <v>689</v>
      </c>
      <c r="G348" t="s">
        <v>25</v>
      </c>
      <c r="H348" t="s">
        <v>5</v>
      </c>
      <c r="I348" t="s">
        <v>16</v>
      </c>
      <c r="J348" t="s">
        <v>13</v>
      </c>
    </row>
    <row r="349" spans="1:10" x14ac:dyDescent="0.2">
      <c r="A349" t="s">
        <v>877</v>
      </c>
      <c r="B349">
        <v>0.85299999999999998</v>
      </c>
      <c r="C349">
        <f t="shared" si="10"/>
        <v>0.42613460859814872</v>
      </c>
      <c r="D349">
        <f t="shared" si="11"/>
        <v>1.1623083296833979E-3</v>
      </c>
      <c r="E349" t="s">
        <v>11</v>
      </c>
      <c r="F349" t="s">
        <v>689</v>
      </c>
      <c r="G349" t="s">
        <v>25</v>
      </c>
      <c r="H349" t="s">
        <v>5</v>
      </c>
      <c r="I349" t="s">
        <v>16</v>
      </c>
      <c r="J349" t="s">
        <v>13</v>
      </c>
    </row>
    <row r="350" spans="1:10" x14ac:dyDescent="0.2">
      <c r="A350" t="s">
        <v>929</v>
      </c>
      <c r="B350">
        <v>0</v>
      </c>
      <c r="C350">
        <f t="shared" si="10"/>
        <v>1</v>
      </c>
      <c r="D350">
        <f t="shared" si="11"/>
        <v>2.7275614470907055E-3</v>
      </c>
      <c r="E350" t="s">
        <v>13</v>
      </c>
      <c r="F350" t="s">
        <v>689</v>
      </c>
      <c r="G350" t="s">
        <v>25</v>
      </c>
      <c r="H350" t="s">
        <v>5</v>
      </c>
      <c r="I350" t="s">
        <v>16</v>
      </c>
      <c r="J350" t="s">
        <v>13</v>
      </c>
    </row>
    <row r="351" spans="1:10" x14ac:dyDescent="0.2">
      <c r="A351" t="s">
        <v>1022</v>
      </c>
      <c r="B351">
        <v>1.28</v>
      </c>
      <c r="C351">
        <f t="shared" si="10"/>
        <v>0.27803730045319414</v>
      </c>
      <c r="D351">
        <f t="shared" si="11"/>
        <v>7.5836382156930756E-4</v>
      </c>
      <c r="E351" t="s">
        <v>25</v>
      </c>
      <c r="F351" t="s">
        <v>689</v>
      </c>
      <c r="G351" t="s">
        <v>25</v>
      </c>
      <c r="H351" t="s">
        <v>5</v>
      </c>
      <c r="I351" t="s">
        <v>16</v>
      </c>
      <c r="J351" t="s">
        <v>13</v>
      </c>
    </row>
    <row r="352" spans="1:10" x14ac:dyDescent="0.2">
      <c r="A352" t="s">
        <v>1081</v>
      </c>
      <c r="B352">
        <v>2.99</v>
      </c>
      <c r="C352">
        <f t="shared" si="10"/>
        <v>5.0287436723591865E-2</v>
      </c>
      <c r="D352">
        <f t="shared" si="11"/>
        <v>1.3716207368028252E-4</v>
      </c>
      <c r="E352" t="s">
        <v>19</v>
      </c>
      <c r="F352" t="s">
        <v>689</v>
      </c>
      <c r="G352" t="s">
        <v>25</v>
      </c>
      <c r="H352" t="s">
        <v>5</v>
      </c>
      <c r="I352" t="s">
        <v>16</v>
      </c>
      <c r="J352" t="s">
        <v>13</v>
      </c>
    </row>
    <row r="353" spans="1:10" x14ac:dyDescent="0.2">
      <c r="A353" t="s">
        <v>1104</v>
      </c>
      <c r="B353">
        <v>0.65300000000000002</v>
      </c>
      <c r="C353">
        <f t="shared" si="10"/>
        <v>0.52048198628928322</v>
      </c>
      <c r="D353">
        <f t="shared" si="11"/>
        <v>1.4196465997078421E-3</v>
      </c>
      <c r="E353" t="s">
        <v>20</v>
      </c>
      <c r="F353" t="s">
        <v>689</v>
      </c>
      <c r="G353" t="s">
        <v>25</v>
      </c>
      <c r="H353" t="s">
        <v>5</v>
      </c>
      <c r="I353" t="s">
        <v>16</v>
      </c>
      <c r="J353" t="s">
        <v>13</v>
      </c>
    </row>
    <row r="354" spans="1:10" x14ac:dyDescent="0.2">
      <c r="A354" t="s">
        <v>38</v>
      </c>
      <c r="B354">
        <v>0.64100000000000001</v>
      </c>
      <c r="C354">
        <f t="shared" si="10"/>
        <v>0.52676539517735743</v>
      </c>
      <c r="D354">
        <f t="shared" si="11"/>
        <v>1.4367849835472605E-3</v>
      </c>
      <c r="E354" t="s">
        <v>0</v>
      </c>
      <c r="F354" t="s">
        <v>688</v>
      </c>
      <c r="G354" t="s">
        <v>0</v>
      </c>
      <c r="H354" t="s">
        <v>1</v>
      </c>
      <c r="I354" t="s">
        <v>9</v>
      </c>
      <c r="J354" t="s">
        <v>19</v>
      </c>
    </row>
    <row r="355" spans="1:10" x14ac:dyDescent="0.2">
      <c r="A355" t="s">
        <v>67</v>
      </c>
      <c r="B355">
        <v>0.64100000000000001</v>
      </c>
      <c r="C355">
        <f t="shared" si="10"/>
        <v>0.52676539517735743</v>
      </c>
      <c r="D355">
        <f t="shared" si="11"/>
        <v>1.4367849835472605E-3</v>
      </c>
      <c r="E355" t="s">
        <v>9</v>
      </c>
      <c r="F355" t="s">
        <v>688</v>
      </c>
      <c r="G355" t="s">
        <v>0</v>
      </c>
      <c r="H355" t="s">
        <v>1</v>
      </c>
      <c r="I355" t="s">
        <v>9</v>
      </c>
      <c r="J355" t="s">
        <v>19</v>
      </c>
    </row>
    <row r="356" spans="1:10" x14ac:dyDescent="0.2">
      <c r="A356" t="s">
        <v>104</v>
      </c>
      <c r="B356">
        <v>1.3320000000000001</v>
      </c>
      <c r="C356">
        <f t="shared" si="10"/>
        <v>0.26394883537928682</v>
      </c>
      <c r="D356">
        <f t="shared" si="11"/>
        <v>7.1993666738503397E-4</v>
      </c>
      <c r="E356" t="s">
        <v>23</v>
      </c>
      <c r="F356" t="s">
        <v>688</v>
      </c>
      <c r="G356" t="s">
        <v>0</v>
      </c>
      <c r="H356" t="s">
        <v>1</v>
      </c>
      <c r="I356" t="s">
        <v>9</v>
      </c>
      <c r="J356" t="s">
        <v>19</v>
      </c>
    </row>
    <row r="357" spans="1:10" x14ac:dyDescent="0.2">
      <c r="A357" t="s">
        <v>132</v>
      </c>
      <c r="B357">
        <v>1.4930000000000001</v>
      </c>
      <c r="C357">
        <f t="shared" si="10"/>
        <v>0.22469755073635353</v>
      </c>
      <c r="D357">
        <f t="shared" si="11"/>
        <v>6.1287637664418572E-4</v>
      </c>
      <c r="E357" t="s">
        <v>11</v>
      </c>
      <c r="F357" t="s">
        <v>688</v>
      </c>
      <c r="G357" t="s">
        <v>0</v>
      </c>
      <c r="H357" t="s">
        <v>1</v>
      </c>
      <c r="I357" t="s">
        <v>9</v>
      </c>
      <c r="J357" t="s">
        <v>19</v>
      </c>
    </row>
    <row r="358" spans="1:10" x14ac:dyDescent="0.2">
      <c r="A358" t="s">
        <v>142</v>
      </c>
      <c r="B358">
        <v>0.64100000000000001</v>
      </c>
      <c r="C358">
        <f t="shared" si="10"/>
        <v>0.52676539517735743</v>
      </c>
      <c r="D358">
        <f t="shared" si="11"/>
        <v>1.4367849835472605E-3</v>
      </c>
      <c r="E358" t="s">
        <v>12</v>
      </c>
      <c r="F358" t="s">
        <v>688</v>
      </c>
      <c r="G358" t="s">
        <v>0</v>
      </c>
      <c r="H358" t="s">
        <v>1</v>
      </c>
      <c r="I358" t="s">
        <v>9</v>
      </c>
      <c r="J358" t="s">
        <v>19</v>
      </c>
    </row>
    <row r="359" spans="1:10" x14ac:dyDescent="0.2">
      <c r="A359" t="s">
        <v>160</v>
      </c>
      <c r="B359">
        <v>0.64100000000000001</v>
      </c>
      <c r="C359">
        <f t="shared" si="10"/>
        <v>0.52676539517735743</v>
      </c>
      <c r="D359">
        <f t="shared" si="11"/>
        <v>1.4367849835472605E-3</v>
      </c>
      <c r="E359" t="s">
        <v>5</v>
      </c>
      <c r="F359" t="s">
        <v>688</v>
      </c>
      <c r="G359" t="s">
        <v>0</v>
      </c>
      <c r="H359" t="s">
        <v>1</v>
      </c>
      <c r="I359" t="s">
        <v>9</v>
      </c>
      <c r="J359" t="s">
        <v>19</v>
      </c>
    </row>
    <row r="360" spans="1:10" x14ac:dyDescent="0.2">
      <c r="A360" t="s">
        <v>185</v>
      </c>
      <c r="B360">
        <v>0.64100000000000001</v>
      </c>
      <c r="C360">
        <f t="shared" si="10"/>
        <v>0.52676539517735743</v>
      </c>
      <c r="D360">
        <f t="shared" si="11"/>
        <v>1.4367849835472605E-3</v>
      </c>
      <c r="E360" t="s">
        <v>22</v>
      </c>
      <c r="F360" t="s">
        <v>688</v>
      </c>
      <c r="G360" t="s">
        <v>0</v>
      </c>
      <c r="H360" t="s">
        <v>1</v>
      </c>
      <c r="I360" t="s">
        <v>9</v>
      </c>
      <c r="J360" t="s">
        <v>19</v>
      </c>
    </row>
    <row r="361" spans="1:10" x14ac:dyDescent="0.2">
      <c r="A361" t="s">
        <v>204</v>
      </c>
      <c r="B361">
        <v>0.64100000000000001</v>
      </c>
      <c r="C361">
        <f t="shared" si="10"/>
        <v>0.52676539517735743</v>
      </c>
      <c r="D361">
        <f t="shared" si="11"/>
        <v>1.4367849835472605E-3</v>
      </c>
      <c r="E361" t="s">
        <v>13</v>
      </c>
      <c r="F361" t="s">
        <v>688</v>
      </c>
      <c r="G361" t="s">
        <v>0</v>
      </c>
      <c r="H361" t="s">
        <v>1</v>
      </c>
      <c r="I361" t="s">
        <v>9</v>
      </c>
      <c r="J361" t="s">
        <v>19</v>
      </c>
    </row>
    <row r="362" spans="1:10" x14ac:dyDescent="0.2">
      <c r="A362" t="s">
        <v>236</v>
      </c>
      <c r="B362">
        <v>0.64100000000000001</v>
      </c>
      <c r="C362">
        <f t="shared" si="10"/>
        <v>0.52676539517735743</v>
      </c>
      <c r="D362">
        <f t="shared" si="11"/>
        <v>1.4367849835472605E-3</v>
      </c>
      <c r="E362" t="s">
        <v>14</v>
      </c>
      <c r="F362" t="s">
        <v>688</v>
      </c>
      <c r="G362" t="s">
        <v>0</v>
      </c>
      <c r="H362" t="s">
        <v>1</v>
      </c>
      <c r="I362" t="s">
        <v>9</v>
      </c>
      <c r="J362" t="s">
        <v>19</v>
      </c>
    </row>
    <row r="363" spans="1:10" x14ac:dyDescent="0.2">
      <c r="A363" t="s">
        <v>261</v>
      </c>
      <c r="B363">
        <v>0.64100000000000001</v>
      </c>
      <c r="C363">
        <f t="shared" si="10"/>
        <v>0.52676539517735743</v>
      </c>
      <c r="D363">
        <f t="shared" si="11"/>
        <v>1.4367849835472605E-3</v>
      </c>
      <c r="E363" t="s">
        <v>1</v>
      </c>
      <c r="F363" t="s">
        <v>688</v>
      </c>
      <c r="G363" t="s">
        <v>0</v>
      </c>
      <c r="H363" t="s">
        <v>1</v>
      </c>
      <c r="I363" t="s">
        <v>9</v>
      </c>
      <c r="J363" t="s">
        <v>19</v>
      </c>
    </row>
    <row r="364" spans="1:10" x14ac:dyDescent="0.2">
      <c r="A364" t="s">
        <v>40</v>
      </c>
      <c r="B364">
        <v>0.30299999999999999</v>
      </c>
      <c r="C364">
        <f t="shared" si="10"/>
        <v>0.7385990963704826</v>
      </c>
      <c r="D364">
        <f t="shared" si="11"/>
        <v>2.0145744201161609E-3</v>
      </c>
      <c r="E364" t="s">
        <v>0</v>
      </c>
      <c r="F364" t="s">
        <v>688</v>
      </c>
      <c r="G364" t="s">
        <v>9</v>
      </c>
      <c r="H364" t="s">
        <v>1</v>
      </c>
      <c r="I364" t="s">
        <v>9</v>
      </c>
      <c r="J364" t="s">
        <v>19</v>
      </c>
    </row>
    <row r="365" spans="1:10" x14ac:dyDescent="0.2">
      <c r="A365" t="s">
        <v>69</v>
      </c>
      <c r="B365">
        <v>0.30299999999999999</v>
      </c>
      <c r="C365">
        <f t="shared" si="10"/>
        <v>0.7385990963704826</v>
      </c>
      <c r="D365">
        <f t="shared" si="11"/>
        <v>2.0145744201161609E-3</v>
      </c>
      <c r="E365" t="s">
        <v>9</v>
      </c>
      <c r="F365" t="s">
        <v>688</v>
      </c>
      <c r="G365" t="s">
        <v>9</v>
      </c>
      <c r="H365" t="s">
        <v>1</v>
      </c>
      <c r="I365" t="s">
        <v>9</v>
      </c>
      <c r="J365" t="s">
        <v>19</v>
      </c>
    </row>
    <row r="366" spans="1:10" x14ac:dyDescent="0.2">
      <c r="A366" t="s">
        <v>114</v>
      </c>
      <c r="B366">
        <v>0.30299999999999999</v>
      </c>
      <c r="C366">
        <f t="shared" si="10"/>
        <v>0.7385990963704826</v>
      </c>
      <c r="D366">
        <f t="shared" si="11"/>
        <v>2.0145744201161609E-3</v>
      </c>
      <c r="E366" t="s">
        <v>10</v>
      </c>
      <c r="F366" t="s">
        <v>688</v>
      </c>
      <c r="G366" t="s">
        <v>9</v>
      </c>
      <c r="H366" t="s">
        <v>1</v>
      </c>
      <c r="I366" t="s">
        <v>9</v>
      </c>
      <c r="J366" t="s">
        <v>19</v>
      </c>
    </row>
    <row r="367" spans="1:10" x14ac:dyDescent="0.2">
      <c r="A367" t="s">
        <v>144</v>
      </c>
      <c r="B367">
        <v>0.30299999999999999</v>
      </c>
      <c r="C367">
        <f t="shared" si="10"/>
        <v>0.7385990963704826</v>
      </c>
      <c r="D367">
        <f t="shared" si="11"/>
        <v>2.0145744201161609E-3</v>
      </c>
      <c r="E367" t="s">
        <v>12</v>
      </c>
      <c r="F367" t="s">
        <v>688</v>
      </c>
      <c r="G367" t="s">
        <v>9</v>
      </c>
      <c r="H367" t="s">
        <v>1</v>
      </c>
      <c r="I367" t="s">
        <v>9</v>
      </c>
      <c r="J367" t="s">
        <v>19</v>
      </c>
    </row>
    <row r="368" spans="1:10" x14ac:dyDescent="0.2">
      <c r="A368" t="s">
        <v>162</v>
      </c>
      <c r="B368">
        <v>0.30299999999999999</v>
      </c>
      <c r="C368">
        <f t="shared" si="10"/>
        <v>0.7385990963704826</v>
      </c>
      <c r="D368">
        <f t="shared" si="11"/>
        <v>2.0145744201161609E-3</v>
      </c>
      <c r="E368" t="s">
        <v>5</v>
      </c>
      <c r="F368" t="s">
        <v>688</v>
      </c>
      <c r="G368" t="s">
        <v>9</v>
      </c>
      <c r="H368" t="s">
        <v>1</v>
      </c>
      <c r="I368" t="s">
        <v>9</v>
      </c>
      <c r="J368" t="s">
        <v>19</v>
      </c>
    </row>
    <row r="369" spans="1:10" x14ac:dyDescent="0.2">
      <c r="A369" t="s">
        <v>187</v>
      </c>
      <c r="B369">
        <v>0.30299999999999999</v>
      </c>
      <c r="C369">
        <f t="shared" si="10"/>
        <v>0.7385990963704826</v>
      </c>
      <c r="D369">
        <f t="shared" si="11"/>
        <v>2.0145744201161609E-3</v>
      </c>
      <c r="E369" t="s">
        <v>22</v>
      </c>
      <c r="F369" t="s">
        <v>688</v>
      </c>
      <c r="G369" t="s">
        <v>9</v>
      </c>
      <c r="H369" t="s">
        <v>1</v>
      </c>
      <c r="I369" t="s">
        <v>9</v>
      </c>
      <c r="J369" t="s">
        <v>19</v>
      </c>
    </row>
    <row r="370" spans="1:10" x14ac:dyDescent="0.2">
      <c r="A370" t="s">
        <v>238</v>
      </c>
      <c r="B370">
        <v>0.30299999999999999</v>
      </c>
      <c r="C370">
        <f t="shared" si="10"/>
        <v>0.7385990963704826</v>
      </c>
      <c r="D370">
        <f t="shared" si="11"/>
        <v>2.0145744201161609E-3</v>
      </c>
      <c r="E370" t="s">
        <v>14</v>
      </c>
      <c r="F370" t="s">
        <v>688</v>
      </c>
      <c r="G370" t="s">
        <v>9</v>
      </c>
      <c r="H370" t="s">
        <v>1</v>
      </c>
      <c r="I370" t="s">
        <v>9</v>
      </c>
      <c r="J370" t="s">
        <v>19</v>
      </c>
    </row>
    <row r="371" spans="1:10" x14ac:dyDescent="0.2">
      <c r="A371" t="s">
        <v>262</v>
      </c>
      <c r="B371">
        <v>0.30299999999999999</v>
      </c>
      <c r="C371">
        <f t="shared" si="10"/>
        <v>0.7385990963704826</v>
      </c>
      <c r="D371">
        <f t="shared" si="11"/>
        <v>2.0145744201161609E-3</v>
      </c>
      <c r="E371" t="s">
        <v>1</v>
      </c>
      <c r="F371" t="s">
        <v>688</v>
      </c>
      <c r="G371" t="s">
        <v>9</v>
      </c>
      <c r="H371" t="s">
        <v>1</v>
      </c>
      <c r="I371" t="s">
        <v>9</v>
      </c>
      <c r="J371" t="s">
        <v>19</v>
      </c>
    </row>
    <row r="372" spans="1:10" x14ac:dyDescent="0.2">
      <c r="A372" t="s">
        <v>295</v>
      </c>
      <c r="B372">
        <v>0.30299999999999999</v>
      </c>
      <c r="C372">
        <f t="shared" si="10"/>
        <v>0.7385990963704826</v>
      </c>
      <c r="D372">
        <f t="shared" si="11"/>
        <v>2.0145744201161609E-3</v>
      </c>
      <c r="E372" t="s">
        <v>16</v>
      </c>
      <c r="F372" t="s">
        <v>688</v>
      </c>
      <c r="G372" t="s">
        <v>9</v>
      </c>
      <c r="H372" t="s">
        <v>1</v>
      </c>
      <c r="I372" t="s">
        <v>9</v>
      </c>
      <c r="J372" t="s">
        <v>19</v>
      </c>
    </row>
    <row r="373" spans="1:10" x14ac:dyDescent="0.2">
      <c r="A373" t="s">
        <v>331</v>
      </c>
      <c r="B373">
        <v>2.597</v>
      </c>
      <c r="C373">
        <f t="shared" si="10"/>
        <v>7.4496733514560778E-2</v>
      </c>
      <c r="D373">
        <f t="shared" si="11"/>
        <v>2.0319441826850606E-4</v>
      </c>
      <c r="E373" t="s">
        <v>18</v>
      </c>
      <c r="F373" t="s">
        <v>688</v>
      </c>
      <c r="G373" t="s">
        <v>26</v>
      </c>
      <c r="H373" t="s">
        <v>1</v>
      </c>
      <c r="I373" t="s">
        <v>9</v>
      </c>
      <c r="J373" t="s">
        <v>19</v>
      </c>
    </row>
    <row r="374" spans="1:10" x14ac:dyDescent="0.2">
      <c r="A374" t="s">
        <v>42</v>
      </c>
      <c r="B374">
        <v>0.30299999999999999</v>
      </c>
      <c r="C374">
        <f t="shared" si="10"/>
        <v>0.7385990963704826</v>
      </c>
      <c r="D374">
        <f t="shared" si="11"/>
        <v>2.0145744201161609E-3</v>
      </c>
      <c r="E374" t="s">
        <v>0</v>
      </c>
      <c r="F374" t="s">
        <v>688</v>
      </c>
      <c r="G374" t="s">
        <v>23</v>
      </c>
      <c r="H374" t="s">
        <v>1</v>
      </c>
      <c r="I374" t="s">
        <v>9</v>
      </c>
      <c r="J374" t="s">
        <v>19</v>
      </c>
    </row>
    <row r="375" spans="1:10" x14ac:dyDescent="0.2">
      <c r="A375" t="s">
        <v>71</v>
      </c>
      <c r="B375">
        <v>0.30299999999999999</v>
      </c>
      <c r="C375">
        <f t="shared" si="10"/>
        <v>0.7385990963704826</v>
      </c>
      <c r="D375">
        <f t="shared" si="11"/>
        <v>2.0145744201161609E-3</v>
      </c>
      <c r="E375" t="s">
        <v>9</v>
      </c>
      <c r="F375" t="s">
        <v>688</v>
      </c>
      <c r="G375" t="s">
        <v>23</v>
      </c>
      <c r="H375" t="s">
        <v>1</v>
      </c>
      <c r="I375" t="s">
        <v>9</v>
      </c>
      <c r="J375" t="s">
        <v>19</v>
      </c>
    </row>
    <row r="376" spans="1:10" x14ac:dyDescent="0.2">
      <c r="A376" t="s">
        <v>89</v>
      </c>
      <c r="B376">
        <v>0.56599999999999995</v>
      </c>
      <c r="C376">
        <f t="shared" si="10"/>
        <v>0.56779207069615334</v>
      </c>
      <c r="D376">
        <f t="shared" si="11"/>
        <v>1.5486877619946282E-3</v>
      </c>
      <c r="E376" t="s">
        <v>24</v>
      </c>
      <c r="F376" t="s">
        <v>688</v>
      </c>
      <c r="G376" t="s">
        <v>23</v>
      </c>
      <c r="H376" t="s">
        <v>1</v>
      </c>
      <c r="I376" t="s">
        <v>9</v>
      </c>
      <c r="J376" t="s">
        <v>19</v>
      </c>
    </row>
    <row r="377" spans="1:10" x14ac:dyDescent="0.2">
      <c r="A377" t="s">
        <v>106</v>
      </c>
      <c r="B377">
        <v>0.99399999999999999</v>
      </c>
      <c r="C377">
        <f t="shared" si="10"/>
        <v>0.37009335291196127</v>
      </c>
      <c r="D377">
        <f t="shared" si="11"/>
        <v>1.0094523612272004E-3</v>
      </c>
      <c r="E377" t="s">
        <v>23</v>
      </c>
      <c r="F377" t="s">
        <v>688</v>
      </c>
      <c r="G377" t="s">
        <v>23</v>
      </c>
      <c r="H377" t="s">
        <v>1</v>
      </c>
      <c r="I377" t="s">
        <v>9</v>
      </c>
      <c r="J377" t="s">
        <v>19</v>
      </c>
    </row>
    <row r="378" spans="1:10" x14ac:dyDescent="0.2">
      <c r="A378" t="s">
        <v>134</v>
      </c>
      <c r="B378">
        <v>1.1559999999999999</v>
      </c>
      <c r="C378">
        <f t="shared" si="10"/>
        <v>0.31474263684278192</v>
      </c>
      <c r="D378">
        <f t="shared" si="11"/>
        <v>8.5847988200804266E-4</v>
      </c>
      <c r="E378" t="s">
        <v>11</v>
      </c>
      <c r="F378" t="s">
        <v>688</v>
      </c>
      <c r="G378" t="s">
        <v>23</v>
      </c>
      <c r="H378" t="s">
        <v>1</v>
      </c>
      <c r="I378" t="s">
        <v>9</v>
      </c>
      <c r="J378" t="s">
        <v>19</v>
      </c>
    </row>
    <row r="379" spans="1:10" x14ac:dyDescent="0.2">
      <c r="A379" t="s">
        <v>188</v>
      </c>
      <c r="B379">
        <v>0.30299999999999999</v>
      </c>
      <c r="C379">
        <f t="shared" si="10"/>
        <v>0.7385990963704826</v>
      </c>
      <c r="D379">
        <f t="shared" si="11"/>
        <v>2.0145744201161609E-3</v>
      </c>
      <c r="E379" t="s">
        <v>22</v>
      </c>
      <c r="F379" t="s">
        <v>688</v>
      </c>
      <c r="G379" t="s">
        <v>23</v>
      </c>
      <c r="H379" t="s">
        <v>1</v>
      </c>
      <c r="I379" t="s">
        <v>9</v>
      </c>
      <c r="J379" t="s">
        <v>19</v>
      </c>
    </row>
    <row r="380" spans="1:10" x14ac:dyDescent="0.2">
      <c r="A380" t="s">
        <v>206</v>
      </c>
      <c r="B380">
        <v>0.30299999999999999</v>
      </c>
      <c r="C380">
        <f t="shared" si="10"/>
        <v>0.7385990963704826</v>
      </c>
      <c r="D380">
        <f t="shared" si="11"/>
        <v>2.0145744201161609E-3</v>
      </c>
      <c r="E380" t="s">
        <v>13</v>
      </c>
      <c r="F380" t="s">
        <v>688</v>
      </c>
      <c r="G380" t="s">
        <v>23</v>
      </c>
      <c r="H380" t="s">
        <v>1</v>
      </c>
      <c r="I380" t="s">
        <v>9</v>
      </c>
      <c r="J380" t="s">
        <v>19</v>
      </c>
    </row>
    <row r="381" spans="1:10" x14ac:dyDescent="0.2">
      <c r="A381" t="s">
        <v>220</v>
      </c>
      <c r="B381">
        <v>0.30299999999999999</v>
      </c>
      <c r="C381">
        <f t="shared" si="10"/>
        <v>0.7385990963704826</v>
      </c>
      <c r="D381">
        <f t="shared" si="11"/>
        <v>2.0145744201161609E-3</v>
      </c>
      <c r="E381" t="s">
        <v>2</v>
      </c>
      <c r="F381" t="s">
        <v>688</v>
      </c>
      <c r="G381" t="s">
        <v>23</v>
      </c>
      <c r="H381" t="s">
        <v>1</v>
      </c>
      <c r="I381" t="s">
        <v>9</v>
      </c>
      <c r="J381" t="s">
        <v>19</v>
      </c>
    </row>
    <row r="382" spans="1:10" x14ac:dyDescent="0.2">
      <c r="A382" t="s">
        <v>240</v>
      </c>
      <c r="B382">
        <v>0.30299999999999999</v>
      </c>
      <c r="C382">
        <f t="shared" si="10"/>
        <v>0.7385990963704826</v>
      </c>
      <c r="D382">
        <f t="shared" si="11"/>
        <v>2.0145744201161609E-3</v>
      </c>
      <c r="E382" t="s">
        <v>14</v>
      </c>
      <c r="F382" t="s">
        <v>688</v>
      </c>
      <c r="G382" t="s">
        <v>23</v>
      </c>
      <c r="H382" t="s">
        <v>1</v>
      </c>
      <c r="I382" t="s">
        <v>9</v>
      </c>
      <c r="J382" t="s">
        <v>19</v>
      </c>
    </row>
    <row r="383" spans="1:10" x14ac:dyDescent="0.2">
      <c r="A383" t="s">
        <v>263</v>
      </c>
      <c r="B383">
        <v>0.30299999999999999</v>
      </c>
      <c r="C383">
        <f t="shared" si="10"/>
        <v>0.7385990963704826</v>
      </c>
      <c r="D383">
        <f t="shared" si="11"/>
        <v>2.0145744201161609E-3</v>
      </c>
      <c r="E383" t="s">
        <v>1</v>
      </c>
      <c r="F383" t="s">
        <v>688</v>
      </c>
      <c r="G383" t="s">
        <v>23</v>
      </c>
      <c r="H383" t="s">
        <v>1</v>
      </c>
      <c r="I383" t="s">
        <v>9</v>
      </c>
      <c r="J383" t="s">
        <v>19</v>
      </c>
    </row>
    <row r="384" spans="1:10" x14ac:dyDescent="0.2">
      <c r="A384" t="s">
        <v>297</v>
      </c>
      <c r="B384">
        <v>0.30299999999999999</v>
      </c>
      <c r="C384">
        <f t="shared" si="10"/>
        <v>0.7385990963704826</v>
      </c>
      <c r="D384">
        <f t="shared" si="11"/>
        <v>2.0145744201161609E-3</v>
      </c>
      <c r="E384" t="s">
        <v>16</v>
      </c>
      <c r="F384" t="s">
        <v>688</v>
      </c>
      <c r="G384" t="s">
        <v>23</v>
      </c>
      <c r="H384" t="s">
        <v>1</v>
      </c>
      <c r="I384" t="s">
        <v>9</v>
      </c>
      <c r="J384" t="s">
        <v>19</v>
      </c>
    </row>
    <row r="385" spans="1:10" x14ac:dyDescent="0.2">
      <c r="A385" t="s">
        <v>317</v>
      </c>
      <c r="B385">
        <v>0.755</v>
      </c>
      <c r="C385">
        <f t="shared" si="10"/>
        <v>0.47001061473053796</v>
      </c>
      <c r="D385">
        <f t="shared" si="11"/>
        <v>1.2819828324624183E-3</v>
      </c>
      <c r="E385" t="s">
        <v>17</v>
      </c>
      <c r="F385" t="s">
        <v>688</v>
      </c>
      <c r="G385" t="s">
        <v>23</v>
      </c>
      <c r="H385" t="s">
        <v>1</v>
      </c>
      <c r="I385" t="s">
        <v>9</v>
      </c>
      <c r="J385" t="s">
        <v>19</v>
      </c>
    </row>
    <row r="386" spans="1:10" x14ac:dyDescent="0.2">
      <c r="A386" t="s">
        <v>333</v>
      </c>
      <c r="B386">
        <v>0.30299999999999999</v>
      </c>
      <c r="C386">
        <f t="shared" si="10"/>
        <v>0.7385990963704826</v>
      </c>
      <c r="D386">
        <f t="shared" si="11"/>
        <v>2.0145744201161609E-3</v>
      </c>
      <c r="E386" t="s">
        <v>18</v>
      </c>
      <c r="F386" t="s">
        <v>688</v>
      </c>
      <c r="G386" t="s">
        <v>23</v>
      </c>
      <c r="H386" t="s">
        <v>1</v>
      </c>
      <c r="I386" t="s">
        <v>9</v>
      </c>
      <c r="J386" t="s">
        <v>19</v>
      </c>
    </row>
    <row r="387" spans="1:10" x14ac:dyDescent="0.2">
      <c r="A387" t="s">
        <v>355</v>
      </c>
      <c r="B387">
        <v>0.95599999999999996</v>
      </c>
      <c r="C387">
        <f t="shared" ref="C387:C450" si="12">EXP(-B387)</f>
        <v>0.38442752475037856</v>
      </c>
      <c r="D387">
        <f t="shared" ref="D387:D450" si="13">C387/366.627854</f>
        <v>1.0485496957096407E-3</v>
      </c>
      <c r="E387" t="s">
        <v>20</v>
      </c>
      <c r="F387" t="s">
        <v>688</v>
      </c>
      <c r="G387" t="s">
        <v>23</v>
      </c>
      <c r="H387" t="s">
        <v>1</v>
      </c>
      <c r="I387" t="s">
        <v>9</v>
      </c>
      <c r="J387" t="s">
        <v>19</v>
      </c>
    </row>
    <row r="388" spans="1:10" x14ac:dyDescent="0.2">
      <c r="A388" t="s">
        <v>189</v>
      </c>
      <c r="B388">
        <v>1.85</v>
      </c>
      <c r="C388">
        <f t="shared" si="12"/>
        <v>0.15723716631362761</v>
      </c>
      <c r="D388">
        <f t="shared" si="13"/>
        <v>4.288740328868401E-4</v>
      </c>
      <c r="E388" t="s">
        <v>22</v>
      </c>
      <c r="F388" t="s">
        <v>688</v>
      </c>
      <c r="G388" t="s">
        <v>11</v>
      </c>
      <c r="H388" t="s">
        <v>1</v>
      </c>
      <c r="I388" t="s">
        <v>9</v>
      </c>
      <c r="J388" t="s">
        <v>19</v>
      </c>
    </row>
    <row r="389" spans="1:10" x14ac:dyDescent="0.2">
      <c r="A389" t="s">
        <v>241</v>
      </c>
      <c r="B389">
        <v>1.85</v>
      </c>
      <c r="C389">
        <f t="shared" si="12"/>
        <v>0.15723716631362761</v>
      </c>
      <c r="D389">
        <f t="shared" si="13"/>
        <v>4.288740328868401E-4</v>
      </c>
      <c r="E389" t="s">
        <v>14</v>
      </c>
      <c r="F389" t="s">
        <v>688</v>
      </c>
      <c r="G389" t="s">
        <v>11</v>
      </c>
      <c r="H389" t="s">
        <v>1</v>
      </c>
      <c r="I389" t="s">
        <v>9</v>
      </c>
      <c r="J389" t="s">
        <v>19</v>
      </c>
    </row>
    <row r="390" spans="1:10" x14ac:dyDescent="0.2">
      <c r="A390" t="s">
        <v>107</v>
      </c>
      <c r="B390">
        <v>1.446</v>
      </c>
      <c r="C390">
        <f t="shared" si="12"/>
        <v>0.23551044831306475</v>
      </c>
      <c r="D390">
        <f t="shared" si="13"/>
        <v>6.4236921920576373E-4</v>
      </c>
      <c r="E390" t="s">
        <v>23</v>
      </c>
      <c r="F390" t="s">
        <v>688</v>
      </c>
      <c r="G390" t="s">
        <v>17</v>
      </c>
      <c r="H390" t="s">
        <v>1</v>
      </c>
      <c r="I390" t="s">
        <v>9</v>
      </c>
      <c r="J390" t="s">
        <v>19</v>
      </c>
    </row>
    <row r="391" spans="1:10" x14ac:dyDescent="0.2">
      <c r="A391" t="s">
        <v>169</v>
      </c>
      <c r="B391">
        <v>0.755</v>
      </c>
      <c r="C391">
        <f t="shared" si="12"/>
        <v>0.47001061473053796</v>
      </c>
      <c r="D391">
        <f t="shared" si="13"/>
        <v>1.2819828324624183E-3</v>
      </c>
      <c r="E391" t="s">
        <v>5</v>
      </c>
      <c r="F391" t="s">
        <v>688</v>
      </c>
      <c r="G391" t="s">
        <v>17</v>
      </c>
      <c r="H391" t="s">
        <v>1</v>
      </c>
      <c r="I391" t="s">
        <v>9</v>
      </c>
      <c r="J391" t="s">
        <v>19</v>
      </c>
    </row>
    <row r="392" spans="1:10" x14ac:dyDescent="0.2">
      <c r="A392" t="s">
        <v>269</v>
      </c>
      <c r="B392">
        <v>0.755</v>
      </c>
      <c r="C392">
        <f t="shared" si="12"/>
        <v>0.47001061473053796</v>
      </c>
      <c r="D392">
        <f t="shared" si="13"/>
        <v>1.2819828324624183E-3</v>
      </c>
      <c r="E392" t="s">
        <v>1</v>
      </c>
      <c r="F392" t="s">
        <v>688</v>
      </c>
      <c r="G392" t="s">
        <v>17</v>
      </c>
      <c r="H392" t="s">
        <v>1</v>
      </c>
      <c r="I392" t="s">
        <v>9</v>
      </c>
      <c r="J392" t="s">
        <v>19</v>
      </c>
    </row>
    <row r="393" spans="1:10" x14ac:dyDescent="0.2">
      <c r="A393" t="s">
        <v>322</v>
      </c>
      <c r="B393">
        <v>1.206</v>
      </c>
      <c r="C393">
        <f t="shared" si="12"/>
        <v>0.29939245730979669</v>
      </c>
      <c r="D393">
        <f t="shared" si="13"/>
        <v>8.1661132410795138E-4</v>
      </c>
      <c r="E393" t="s">
        <v>17</v>
      </c>
      <c r="F393" t="s">
        <v>688</v>
      </c>
      <c r="G393" t="s">
        <v>17</v>
      </c>
      <c r="H393" t="s">
        <v>1</v>
      </c>
      <c r="I393" t="s">
        <v>9</v>
      </c>
      <c r="J393" t="s">
        <v>19</v>
      </c>
    </row>
    <row r="394" spans="1:10" x14ac:dyDescent="0.2">
      <c r="A394" t="s">
        <v>358</v>
      </c>
      <c r="B394">
        <v>1.407</v>
      </c>
      <c r="C394">
        <f t="shared" si="12"/>
        <v>0.24487681274714082</v>
      </c>
      <c r="D394">
        <f t="shared" si="13"/>
        <v>6.6791655373555118E-4</v>
      </c>
      <c r="E394" t="s">
        <v>20</v>
      </c>
      <c r="F394" t="s">
        <v>688</v>
      </c>
      <c r="G394" t="s">
        <v>17</v>
      </c>
      <c r="H394" t="s">
        <v>1</v>
      </c>
      <c r="I394" t="s">
        <v>9</v>
      </c>
      <c r="J394" t="s">
        <v>19</v>
      </c>
    </row>
    <row r="395" spans="1:10" x14ac:dyDescent="0.2">
      <c r="A395" t="s">
        <v>48</v>
      </c>
      <c r="B395">
        <v>0.30299999999999999</v>
      </c>
      <c r="C395">
        <f t="shared" si="12"/>
        <v>0.7385990963704826</v>
      </c>
      <c r="D395">
        <f t="shared" si="13"/>
        <v>2.0145744201161609E-3</v>
      </c>
      <c r="E395" t="s">
        <v>0</v>
      </c>
      <c r="F395" t="s">
        <v>688</v>
      </c>
      <c r="G395" t="s">
        <v>20</v>
      </c>
      <c r="H395" t="s">
        <v>1</v>
      </c>
      <c r="I395" t="s">
        <v>9</v>
      </c>
      <c r="J395" t="s">
        <v>19</v>
      </c>
    </row>
    <row r="396" spans="1:10" x14ac:dyDescent="0.2">
      <c r="A396" t="s">
        <v>60</v>
      </c>
      <c r="B396">
        <v>0.68</v>
      </c>
      <c r="C396">
        <f t="shared" si="12"/>
        <v>0.50661699236558955</v>
      </c>
      <c r="D396">
        <f t="shared" si="13"/>
        <v>1.3818289768174285E-3</v>
      </c>
      <c r="E396" t="s">
        <v>8</v>
      </c>
      <c r="F396" t="s">
        <v>688</v>
      </c>
      <c r="G396" t="s">
        <v>20</v>
      </c>
      <c r="H396" t="s">
        <v>1</v>
      </c>
      <c r="I396" t="s">
        <v>9</v>
      </c>
      <c r="J396" t="s">
        <v>19</v>
      </c>
    </row>
    <row r="397" spans="1:10" x14ac:dyDescent="0.2">
      <c r="A397" t="s">
        <v>95</v>
      </c>
      <c r="B397">
        <v>0.56599999999999995</v>
      </c>
      <c r="C397">
        <f t="shared" si="12"/>
        <v>0.56779207069615334</v>
      </c>
      <c r="D397">
        <f t="shared" si="13"/>
        <v>1.5486877619946282E-3</v>
      </c>
      <c r="E397" t="s">
        <v>24</v>
      </c>
      <c r="F397" t="s">
        <v>688</v>
      </c>
      <c r="G397" t="s">
        <v>20</v>
      </c>
      <c r="H397" t="s">
        <v>1</v>
      </c>
      <c r="I397" t="s">
        <v>9</v>
      </c>
      <c r="J397" t="s">
        <v>19</v>
      </c>
    </row>
    <row r="398" spans="1:10" x14ac:dyDescent="0.2">
      <c r="A398" t="s">
        <v>119</v>
      </c>
      <c r="B398">
        <v>0.30299999999999999</v>
      </c>
      <c r="C398">
        <f t="shared" si="12"/>
        <v>0.7385990963704826</v>
      </c>
      <c r="D398">
        <f t="shared" si="13"/>
        <v>2.0145744201161609E-3</v>
      </c>
      <c r="E398" t="s">
        <v>10</v>
      </c>
      <c r="F398" t="s">
        <v>688</v>
      </c>
      <c r="G398" t="s">
        <v>20</v>
      </c>
      <c r="H398" t="s">
        <v>1</v>
      </c>
      <c r="I398" t="s">
        <v>9</v>
      </c>
      <c r="J398" t="s">
        <v>19</v>
      </c>
    </row>
    <row r="399" spans="1:10" x14ac:dyDescent="0.2">
      <c r="A399" t="s">
        <v>170</v>
      </c>
      <c r="B399">
        <v>0.30299999999999999</v>
      </c>
      <c r="C399">
        <f t="shared" si="12"/>
        <v>0.7385990963704826</v>
      </c>
      <c r="D399">
        <f t="shared" si="13"/>
        <v>2.0145744201161609E-3</v>
      </c>
      <c r="E399" t="s">
        <v>5</v>
      </c>
      <c r="F399" t="s">
        <v>688</v>
      </c>
      <c r="G399" t="s">
        <v>20</v>
      </c>
      <c r="H399" t="s">
        <v>1</v>
      </c>
      <c r="I399" t="s">
        <v>9</v>
      </c>
      <c r="J399" t="s">
        <v>19</v>
      </c>
    </row>
    <row r="400" spans="1:10" x14ac:dyDescent="0.2">
      <c r="A400" t="s">
        <v>195</v>
      </c>
      <c r="B400">
        <v>0.30299999999999999</v>
      </c>
      <c r="C400">
        <f t="shared" si="12"/>
        <v>0.7385990963704826</v>
      </c>
      <c r="D400">
        <f t="shared" si="13"/>
        <v>2.0145744201161609E-3</v>
      </c>
      <c r="E400" t="s">
        <v>22</v>
      </c>
      <c r="F400" t="s">
        <v>688</v>
      </c>
      <c r="G400" t="s">
        <v>20</v>
      </c>
      <c r="H400" t="s">
        <v>1</v>
      </c>
      <c r="I400" t="s">
        <v>9</v>
      </c>
      <c r="J400" t="s">
        <v>19</v>
      </c>
    </row>
    <row r="401" spans="1:10" x14ac:dyDescent="0.2">
      <c r="A401" t="s">
        <v>248</v>
      </c>
      <c r="B401">
        <v>0.30299999999999999</v>
      </c>
      <c r="C401">
        <f t="shared" si="12"/>
        <v>0.7385990963704826</v>
      </c>
      <c r="D401">
        <f t="shared" si="13"/>
        <v>2.0145744201161609E-3</v>
      </c>
      <c r="E401" t="s">
        <v>14</v>
      </c>
      <c r="F401" t="s">
        <v>688</v>
      </c>
      <c r="G401" t="s">
        <v>20</v>
      </c>
      <c r="H401" t="s">
        <v>1</v>
      </c>
      <c r="I401" t="s">
        <v>9</v>
      </c>
      <c r="J401" t="s">
        <v>19</v>
      </c>
    </row>
    <row r="402" spans="1:10" x14ac:dyDescent="0.2">
      <c r="A402" t="s">
        <v>302</v>
      </c>
      <c r="B402">
        <v>0.30299999999999999</v>
      </c>
      <c r="C402">
        <f t="shared" si="12"/>
        <v>0.7385990963704826</v>
      </c>
      <c r="D402">
        <f t="shared" si="13"/>
        <v>2.0145744201161609E-3</v>
      </c>
      <c r="E402" t="s">
        <v>16</v>
      </c>
      <c r="F402" t="s">
        <v>688</v>
      </c>
      <c r="G402" t="s">
        <v>20</v>
      </c>
      <c r="H402" t="s">
        <v>1</v>
      </c>
      <c r="I402" t="s">
        <v>9</v>
      </c>
      <c r="J402" t="s">
        <v>19</v>
      </c>
    </row>
    <row r="403" spans="1:10" x14ac:dyDescent="0.2">
      <c r="A403" t="s">
        <v>340</v>
      </c>
      <c r="B403">
        <v>0.30299999999999999</v>
      </c>
      <c r="C403">
        <f t="shared" si="12"/>
        <v>0.7385990963704826</v>
      </c>
      <c r="D403">
        <f t="shared" si="13"/>
        <v>2.0145744201161609E-3</v>
      </c>
      <c r="E403" t="s">
        <v>18</v>
      </c>
      <c r="F403" t="s">
        <v>688</v>
      </c>
      <c r="G403" t="s">
        <v>20</v>
      </c>
      <c r="H403" t="s">
        <v>1</v>
      </c>
      <c r="I403" t="s">
        <v>9</v>
      </c>
      <c r="J403" t="s">
        <v>19</v>
      </c>
    </row>
    <row r="404" spans="1:10" x14ac:dyDescent="0.2">
      <c r="A404" t="s">
        <v>741</v>
      </c>
      <c r="B404">
        <v>1.018</v>
      </c>
      <c r="C404">
        <f t="shared" si="12"/>
        <v>0.36131685172433853</v>
      </c>
      <c r="D404">
        <f t="shared" si="13"/>
        <v>9.8551391494749465E-4</v>
      </c>
      <c r="E404" t="s">
        <v>8</v>
      </c>
      <c r="F404" t="s">
        <v>688</v>
      </c>
      <c r="G404" t="s">
        <v>0</v>
      </c>
      <c r="H404" t="s">
        <v>1</v>
      </c>
      <c r="I404" t="s">
        <v>9</v>
      </c>
      <c r="J404" t="s">
        <v>13</v>
      </c>
    </row>
    <row r="405" spans="1:10" x14ac:dyDescent="0.2">
      <c r="A405" t="s">
        <v>776</v>
      </c>
      <c r="B405">
        <v>2.2850000000000001</v>
      </c>
      <c r="C405">
        <f t="shared" si="12"/>
        <v>0.10177406210628372</v>
      </c>
      <c r="D405">
        <f t="shared" si="13"/>
        <v>2.7759500811491456E-4</v>
      </c>
      <c r="E405" t="s">
        <v>26</v>
      </c>
      <c r="F405" t="s">
        <v>688</v>
      </c>
      <c r="G405" t="s">
        <v>0</v>
      </c>
      <c r="H405" t="s">
        <v>1</v>
      </c>
      <c r="I405" t="s">
        <v>9</v>
      </c>
      <c r="J405" t="s">
        <v>13</v>
      </c>
    </row>
    <row r="406" spans="1:10" x14ac:dyDescent="0.2">
      <c r="A406" t="s">
        <v>806</v>
      </c>
      <c r="B406">
        <v>0.90400000000000003</v>
      </c>
      <c r="C406">
        <f t="shared" si="12"/>
        <v>0.40494662932650488</v>
      </c>
      <c r="D406">
        <f t="shared" si="13"/>
        <v>1.1045168142803053E-3</v>
      </c>
      <c r="E406" t="s">
        <v>24</v>
      </c>
      <c r="F406" t="s">
        <v>688</v>
      </c>
      <c r="G406" t="s">
        <v>0</v>
      </c>
      <c r="H406" t="s">
        <v>1</v>
      </c>
      <c r="I406" t="s">
        <v>9</v>
      </c>
      <c r="J406" t="s">
        <v>13</v>
      </c>
    </row>
    <row r="407" spans="1:10" x14ac:dyDescent="0.2">
      <c r="A407" t="s">
        <v>845</v>
      </c>
      <c r="B407">
        <v>0.64100000000000001</v>
      </c>
      <c r="C407">
        <f t="shared" si="12"/>
        <v>0.52676539517735743</v>
      </c>
      <c r="D407">
        <f t="shared" si="13"/>
        <v>1.4367849835472605E-3</v>
      </c>
      <c r="E407" t="s">
        <v>10</v>
      </c>
      <c r="F407" t="s">
        <v>688</v>
      </c>
      <c r="G407" t="s">
        <v>0</v>
      </c>
      <c r="H407" t="s">
        <v>1</v>
      </c>
      <c r="I407" t="s">
        <v>9</v>
      </c>
      <c r="J407" t="s">
        <v>13</v>
      </c>
    </row>
    <row r="408" spans="1:10" x14ac:dyDescent="0.2">
      <c r="A408" t="s">
        <v>931</v>
      </c>
      <c r="B408">
        <v>0.64100000000000001</v>
      </c>
      <c r="C408">
        <f t="shared" si="12"/>
        <v>0.52676539517735743</v>
      </c>
      <c r="D408">
        <f t="shared" si="13"/>
        <v>1.4367849835472605E-3</v>
      </c>
      <c r="E408" t="s">
        <v>2</v>
      </c>
      <c r="F408" t="s">
        <v>688</v>
      </c>
      <c r="G408" t="s">
        <v>0</v>
      </c>
      <c r="H408" t="s">
        <v>1</v>
      </c>
      <c r="I408" t="s">
        <v>9</v>
      </c>
      <c r="J408" t="s">
        <v>13</v>
      </c>
    </row>
    <row r="409" spans="1:10" x14ac:dyDescent="0.2">
      <c r="A409" t="s">
        <v>964</v>
      </c>
      <c r="B409">
        <v>1.018</v>
      </c>
      <c r="C409">
        <f t="shared" si="12"/>
        <v>0.36131685172433853</v>
      </c>
      <c r="D409">
        <f t="shared" si="13"/>
        <v>9.8551391494749465E-4</v>
      </c>
      <c r="E409" t="s">
        <v>15</v>
      </c>
      <c r="F409" t="s">
        <v>688</v>
      </c>
      <c r="G409" t="s">
        <v>0</v>
      </c>
      <c r="H409" t="s">
        <v>1</v>
      </c>
      <c r="I409" t="s">
        <v>9</v>
      </c>
      <c r="J409" t="s">
        <v>13</v>
      </c>
    </row>
    <row r="410" spans="1:10" x14ac:dyDescent="0.2">
      <c r="A410" t="s">
        <v>983</v>
      </c>
      <c r="B410">
        <v>0.64100000000000001</v>
      </c>
      <c r="C410">
        <f t="shared" si="12"/>
        <v>0.52676539517735743</v>
      </c>
      <c r="D410">
        <f t="shared" si="13"/>
        <v>1.4367849835472605E-3</v>
      </c>
      <c r="E410" t="s">
        <v>16</v>
      </c>
      <c r="F410" t="s">
        <v>688</v>
      </c>
      <c r="G410" t="s">
        <v>0</v>
      </c>
      <c r="H410" t="s">
        <v>1</v>
      </c>
      <c r="I410" t="s">
        <v>9</v>
      </c>
      <c r="J410" t="s">
        <v>13</v>
      </c>
    </row>
    <row r="411" spans="1:10" x14ac:dyDescent="0.2">
      <c r="A411" t="s">
        <v>997</v>
      </c>
      <c r="B411">
        <v>1.921</v>
      </c>
      <c r="C411">
        <f t="shared" si="12"/>
        <v>0.14646042844727247</v>
      </c>
      <c r="D411">
        <f t="shared" si="13"/>
        <v>3.9947981815716723E-4</v>
      </c>
      <c r="E411" t="s">
        <v>25</v>
      </c>
      <c r="F411" t="s">
        <v>688</v>
      </c>
      <c r="G411" t="s">
        <v>0</v>
      </c>
      <c r="H411" t="s">
        <v>1</v>
      </c>
      <c r="I411" t="s">
        <v>9</v>
      </c>
      <c r="J411" t="s">
        <v>13</v>
      </c>
    </row>
    <row r="412" spans="1:10" x14ac:dyDescent="0.2">
      <c r="A412" t="s">
        <v>1025</v>
      </c>
      <c r="B412">
        <v>1.0920000000000001</v>
      </c>
      <c r="C412">
        <f t="shared" si="12"/>
        <v>0.33554473270424268</v>
      </c>
      <c r="D412">
        <f t="shared" si="13"/>
        <v>9.1521887669844819E-4</v>
      </c>
      <c r="E412" t="s">
        <v>17</v>
      </c>
      <c r="F412" t="s">
        <v>688</v>
      </c>
      <c r="G412" t="s">
        <v>0</v>
      </c>
      <c r="H412" t="s">
        <v>1</v>
      </c>
      <c r="I412" t="s">
        <v>9</v>
      </c>
      <c r="J412" t="s">
        <v>13</v>
      </c>
    </row>
    <row r="413" spans="1:10" x14ac:dyDescent="0.2">
      <c r="A413" t="s">
        <v>1044</v>
      </c>
      <c r="B413">
        <v>0.64100000000000001</v>
      </c>
      <c r="C413">
        <f t="shared" si="12"/>
        <v>0.52676539517735743</v>
      </c>
      <c r="D413">
        <f t="shared" si="13"/>
        <v>1.4367849835472605E-3</v>
      </c>
      <c r="E413" t="s">
        <v>18</v>
      </c>
      <c r="F413" t="s">
        <v>688</v>
      </c>
      <c r="G413" t="s">
        <v>0</v>
      </c>
      <c r="H413" t="s">
        <v>1</v>
      </c>
      <c r="I413" t="s">
        <v>9</v>
      </c>
      <c r="J413" t="s">
        <v>13</v>
      </c>
    </row>
    <row r="414" spans="1:10" x14ac:dyDescent="0.2">
      <c r="A414" t="s">
        <v>1054</v>
      </c>
      <c r="B414">
        <v>3.63</v>
      </c>
      <c r="C414">
        <f t="shared" si="12"/>
        <v>2.6516184408894181E-2</v>
      </c>
      <c r="D414">
        <f t="shared" si="13"/>
        <v>7.232452231764742E-5</v>
      </c>
      <c r="E414" t="s">
        <v>19</v>
      </c>
      <c r="F414" t="s">
        <v>688</v>
      </c>
      <c r="G414" t="s">
        <v>0</v>
      </c>
      <c r="H414" t="s">
        <v>1</v>
      </c>
      <c r="I414" t="s">
        <v>9</v>
      </c>
      <c r="J414" t="s">
        <v>13</v>
      </c>
    </row>
    <row r="415" spans="1:10" x14ac:dyDescent="0.2">
      <c r="A415" t="s">
        <v>1085</v>
      </c>
      <c r="B415">
        <v>1.2929999999999999</v>
      </c>
      <c r="C415">
        <f t="shared" si="12"/>
        <v>0.27444620822121696</v>
      </c>
      <c r="D415">
        <f t="shared" si="13"/>
        <v>7.485688968444196E-4</v>
      </c>
      <c r="E415" t="s">
        <v>20</v>
      </c>
      <c r="F415" t="s">
        <v>688</v>
      </c>
      <c r="G415" t="s">
        <v>0</v>
      </c>
      <c r="H415" t="s">
        <v>1</v>
      </c>
      <c r="I415" t="s">
        <v>9</v>
      </c>
      <c r="J415" t="s">
        <v>13</v>
      </c>
    </row>
    <row r="416" spans="1:10" x14ac:dyDescent="0.2">
      <c r="A416" t="s">
        <v>743</v>
      </c>
      <c r="B416">
        <v>0.68</v>
      </c>
      <c r="C416">
        <f t="shared" si="12"/>
        <v>0.50661699236558955</v>
      </c>
      <c r="D416">
        <f t="shared" si="13"/>
        <v>1.3818289768174285E-3</v>
      </c>
      <c r="E416" t="s">
        <v>8</v>
      </c>
      <c r="F416" t="s">
        <v>688</v>
      </c>
      <c r="G416" t="s">
        <v>9</v>
      </c>
      <c r="H416" t="s">
        <v>1</v>
      </c>
      <c r="I416" t="s">
        <v>9</v>
      </c>
      <c r="J416" t="s">
        <v>13</v>
      </c>
    </row>
    <row r="417" spans="1:10" x14ac:dyDescent="0.2">
      <c r="A417" t="s">
        <v>778</v>
      </c>
      <c r="B417">
        <v>1.9470000000000001</v>
      </c>
      <c r="C417">
        <f t="shared" si="12"/>
        <v>0.14270153467530902</v>
      </c>
      <c r="D417">
        <f t="shared" si="13"/>
        <v>3.8922720442105036E-4</v>
      </c>
      <c r="E417" t="s">
        <v>26</v>
      </c>
      <c r="F417" t="s">
        <v>688</v>
      </c>
      <c r="G417" t="s">
        <v>9</v>
      </c>
      <c r="H417" t="s">
        <v>1</v>
      </c>
      <c r="I417" t="s">
        <v>9</v>
      </c>
      <c r="J417" t="s">
        <v>13</v>
      </c>
    </row>
    <row r="418" spans="1:10" x14ac:dyDescent="0.2">
      <c r="A418" t="s">
        <v>807</v>
      </c>
      <c r="B418">
        <v>0.56599999999999995</v>
      </c>
      <c r="C418">
        <f t="shared" si="12"/>
        <v>0.56779207069615334</v>
      </c>
      <c r="D418">
        <f t="shared" si="13"/>
        <v>1.5486877619946282E-3</v>
      </c>
      <c r="E418" t="s">
        <v>24</v>
      </c>
      <c r="F418" t="s">
        <v>688</v>
      </c>
      <c r="G418" t="s">
        <v>9</v>
      </c>
      <c r="H418" t="s">
        <v>1</v>
      </c>
      <c r="I418" t="s">
        <v>9</v>
      </c>
      <c r="J418" t="s">
        <v>13</v>
      </c>
    </row>
    <row r="419" spans="1:10" x14ac:dyDescent="0.2">
      <c r="A419" t="s">
        <v>823</v>
      </c>
      <c r="B419">
        <v>0.99399999999999999</v>
      </c>
      <c r="C419">
        <f t="shared" si="12"/>
        <v>0.37009335291196127</v>
      </c>
      <c r="D419">
        <f t="shared" si="13"/>
        <v>1.0094523612272004E-3</v>
      </c>
      <c r="E419" t="s">
        <v>23</v>
      </c>
      <c r="F419" t="s">
        <v>688</v>
      </c>
      <c r="G419" t="s">
        <v>9</v>
      </c>
      <c r="H419" t="s">
        <v>1</v>
      </c>
      <c r="I419" t="s">
        <v>9</v>
      </c>
      <c r="J419" t="s">
        <v>13</v>
      </c>
    </row>
    <row r="420" spans="1:10" x14ac:dyDescent="0.2">
      <c r="A420" t="s">
        <v>859</v>
      </c>
      <c r="B420">
        <v>1.1559999999999999</v>
      </c>
      <c r="C420">
        <f t="shared" si="12"/>
        <v>0.31474263684278192</v>
      </c>
      <c r="D420">
        <f t="shared" si="13"/>
        <v>8.5847988200804266E-4</v>
      </c>
      <c r="E420" t="s">
        <v>11</v>
      </c>
      <c r="F420" t="s">
        <v>688</v>
      </c>
      <c r="G420" t="s">
        <v>9</v>
      </c>
      <c r="H420" t="s">
        <v>1</v>
      </c>
      <c r="I420" t="s">
        <v>9</v>
      </c>
      <c r="J420" t="s">
        <v>13</v>
      </c>
    </row>
    <row r="421" spans="1:10" x14ac:dyDescent="0.2">
      <c r="A421" t="s">
        <v>914</v>
      </c>
      <c r="B421">
        <v>0.30299999999999999</v>
      </c>
      <c r="C421">
        <f t="shared" si="12"/>
        <v>0.7385990963704826</v>
      </c>
      <c r="D421">
        <f t="shared" si="13"/>
        <v>2.0145744201161609E-3</v>
      </c>
      <c r="E421" t="s">
        <v>13</v>
      </c>
      <c r="F421" t="s">
        <v>688</v>
      </c>
      <c r="G421" t="s">
        <v>9</v>
      </c>
      <c r="H421" t="s">
        <v>1</v>
      </c>
      <c r="I421" t="s">
        <v>9</v>
      </c>
      <c r="J421" t="s">
        <v>13</v>
      </c>
    </row>
    <row r="422" spans="1:10" x14ac:dyDescent="0.2">
      <c r="A422" t="s">
        <v>932</v>
      </c>
      <c r="B422">
        <v>0.30299999999999999</v>
      </c>
      <c r="C422">
        <f t="shared" si="12"/>
        <v>0.7385990963704826</v>
      </c>
      <c r="D422">
        <f t="shared" si="13"/>
        <v>2.0145744201161609E-3</v>
      </c>
      <c r="E422" t="s">
        <v>2</v>
      </c>
      <c r="F422" t="s">
        <v>688</v>
      </c>
      <c r="G422" t="s">
        <v>9</v>
      </c>
      <c r="H422" t="s">
        <v>1</v>
      </c>
      <c r="I422" t="s">
        <v>9</v>
      </c>
      <c r="J422" t="s">
        <v>13</v>
      </c>
    </row>
    <row r="423" spans="1:10" x14ac:dyDescent="0.2">
      <c r="A423" t="s">
        <v>966</v>
      </c>
      <c r="B423">
        <v>0.68</v>
      </c>
      <c r="C423">
        <f t="shared" si="12"/>
        <v>0.50661699236558955</v>
      </c>
      <c r="D423">
        <f t="shared" si="13"/>
        <v>1.3818289768174285E-3</v>
      </c>
      <c r="E423" t="s">
        <v>15</v>
      </c>
      <c r="F423" t="s">
        <v>688</v>
      </c>
      <c r="G423" t="s">
        <v>9</v>
      </c>
      <c r="H423" t="s">
        <v>1</v>
      </c>
      <c r="I423" t="s">
        <v>9</v>
      </c>
      <c r="J423" t="s">
        <v>13</v>
      </c>
    </row>
    <row r="424" spans="1:10" x14ac:dyDescent="0.2">
      <c r="A424" t="s">
        <v>999</v>
      </c>
      <c r="B424">
        <v>1.583</v>
      </c>
      <c r="C424">
        <f t="shared" si="12"/>
        <v>0.20535809887201756</v>
      </c>
      <c r="D424">
        <f t="shared" si="13"/>
        <v>5.6012683333115645E-4</v>
      </c>
      <c r="E424" t="s">
        <v>25</v>
      </c>
      <c r="F424" t="s">
        <v>688</v>
      </c>
      <c r="G424" t="s">
        <v>9</v>
      </c>
      <c r="H424" t="s">
        <v>1</v>
      </c>
      <c r="I424" t="s">
        <v>9</v>
      </c>
      <c r="J424" t="s">
        <v>13</v>
      </c>
    </row>
    <row r="425" spans="1:10" x14ac:dyDescent="0.2">
      <c r="A425" t="s">
        <v>1027</v>
      </c>
      <c r="B425">
        <v>0.755</v>
      </c>
      <c r="C425">
        <f t="shared" si="12"/>
        <v>0.47001061473053796</v>
      </c>
      <c r="D425">
        <f t="shared" si="13"/>
        <v>1.2819828324624183E-3</v>
      </c>
      <c r="E425" t="s">
        <v>17</v>
      </c>
      <c r="F425" t="s">
        <v>688</v>
      </c>
      <c r="G425" t="s">
        <v>9</v>
      </c>
      <c r="H425" t="s">
        <v>1</v>
      </c>
      <c r="I425" t="s">
        <v>9</v>
      </c>
      <c r="J425" t="s">
        <v>13</v>
      </c>
    </row>
    <row r="426" spans="1:10" x14ac:dyDescent="0.2">
      <c r="A426" t="s">
        <v>1045</v>
      </c>
      <c r="B426">
        <v>0.30299999999999999</v>
      </c>
      <c r="C426">
        <f t="shared" si="12"/>
        <v>0.7385990963704826</v>
      </c>
      <c r="D426">
        <f t="shared" si="13"/>
        <v>2.0145744201161609E-3</v>
      </c>
      <c r="E426" t="s">
        <v>18</v>
      </c>
      <c r="F426" t="s">
        <v>688</v>
      </c>
      <c r="G426" t="s">
        <v>9</v>
      </c>
      <c r="H426" t="s">
        <v>1</v>
      </c>
      <c r="I426" t="s">
        <v>9</v>
      </c>
      <c r="J426" t="s">
        <v>13</v>
      </c>
    </row>
    <row r="427" spans="1:10" x14ac:dyDescent="0.2">
      <c r="A427" t="s">
        <v>1056</v>
      </c>
      <c r="B427">
        <v>3.2930000000000001</v>
      </c>
      <c r="C427">
        <f t="shared" si="12"/>
        <v>3.7142255322832773E-2</v>
      </c>
      <c r="D427">
        <f t="shared" si="13"/>
        <v>1.0130778367655823E-4</v>
      </c>
      <c r="E427" t="s">
        <v>19</v>
      </c>
      <c r="F427" t="s">
        <v>688</v>
      </c>
      <c r="G427" t="s">
        <v>9</v>
      </c>
      <c r="H427" t="s">
        <v>1</v>
      </c>
      <c r="I427" t="s">
        <v>9</v>
      </c>
      <c r="J427" t="s">
        <v>13</v>
      </c>
    </row>
    <row r="428" spans="1:10" x14ac:dyDescent="0.2">
      <c r="A428" t="s">
        <v>1086</v>
      </c>
      <c r="B428">
        <v>0.95599999999999996</v>
      </c>
      <c r="C428">
        <f t="shared" si="12"/>
        <v>0.38442752475037856</v>
      </c>
      <c r="D428">
        <f t="shared" si="13"/>
        <v>1.0485496957096407E-3</v>
      </c>
      <c r="E428" t="s">
        <v>20</v>
      </c>
      <c r="F428" t="s">
        <v>688</v>
      </c>
      <c r="G428" t="s">
        <v>9</v>
      </c>
      <c r="H428" t="s">
        <v>1</v>
      </c>
      <c r="I428" t="s">
        <v>9</v>
      </c>
      <c r="J428" t="s">
        <v>13</v>
      </c>
    </row>
    <row r="429" spans="1:10" x14ac:dyDescent="0.2">
      <c r="A429" t="s">
        <v>728</v>
      </c>
      <c r="B429">
        <v>2.597</v>
      </c>
      <c r="C429">
        <f t="shared" si="12"/>
        <v>7.4496733514560778E-2</v>
      </c>
      <c r="D429">
        <f t="shared" si="13"/>
        <v>2.0319441826850606E-4</v>
      </c>
      <c r="E429" t="s">
        <v>0</v>
      </c>
      <c r="F429" t="s">
        <v>688</v>
      </c>
      <c r="G429" t="s">
        <v>26</v>
      </c>
      <c r="H429" t="s">
        <v>1</v>
      </c>
      <c r="I429" t="s">
        <v>9</v>
      </c>
      <c r="J429" t="s">
        <v>13</v>
      </c>
    </row>
    <row r="430" spans="1:10" x14ac:dyDescent="0.2">
      <c r="A430" t="s">
        <v>744</v>
      </c>
      <c r="B430">
        <v>2.9740000000000002</v>
      </c>
      <c r="C430">
        <f t="shared" si="12"/>
        <v>5.1098506970385579E-2</v>
      </c>
      <c r="D430">
        <f t="shared" si="13"/>
        <v>1.3937431761631939E-4</v>
      </c>
      <c r="E430" t="s">
        <v>8</v>
      </c>
      <c r="F430" t="s">
        <v>688</v>
      </c>
      <c r="G430" t="s">
        <v>26</v>
      </c>
      <c r="H430" t="s">
        <v>1</v>
      </c>
      <c r="I430" t="s">
        <v>9</v>
      </c>
      <c r="J430" t="s">
        <v>13</v>
      </c>
    </row>
    <row r="431" spans="1:10" x14ac:dyDescent="0.2">
      <c r="A431" t="s">
        <v>763</v>
      </c>
      <c r="B431">
        <v>2.597</v>
      </c>
      <c r="C431">
        <f t="shared" si="12"/>
        <v>7.4496733514560778E-2</v>
      </c>
      <c r="D431">
        <f t="shared" si="13"/>
        <v>2.0319441826850606E-4</v>
      </c>
      <c r="E431" t="s">
        <v>9</v>
      </c>
      <c r="F431" t="s">
        <v>688</v>
      </c>
      <c r="G431" t="s">
        <v>26</v>
      </c>
      <c r="H431" t="s">
        <v>1</v>
      </c>
      <c r="I431" t="s">
        <v>9</v>
      </c>
      <c r="J431" t="s">
        <v>13</v>
      </c>
    </row>
    <row r="432" spans="1:10" x14ac:dyDescent="0.2">
      <c r="A432" t="s">
        <v>779</v>
      </c>
      <c r="B432">
        <v>4.2409999999999997</v>
      </c>
      <c r="C432">
        <f t="shared" si="12"/>
        <v>1.4393191452664503E-2</v>
      </c>
      <c r="D432">
        <f t="shared" si="13"/>
        <v>3.9258314106883166E-5</v>
      </c>
      <c r="E432" t="s">
        <v>26</v>
      </c>
      <c r="F432" t="s">
        <v>688</v>
      </c>
      <c r="G432" t="s">
        <v>26</v>
      </c>
      <c r="H432" t="s">
        <v>1</v>
      </c>
      <c r="I432" t="s">
        <v>9</v>
      </c>
      <c r="J432" t="s">
        <v>13</v>
      </c>
    </row>
    <row r="433" spans="1:10" x14ac:dyDescent="0.2">
      <c r="A433" t="s">
        <v>808</v>
      </c>
      <c r="B433">
        <v>2.86</v>
      </c>
      <c r="C433">
        <f t="shared" si="12"/>
        <v>5.7268760265467358E-2</v>
      </c>
      <c r="D433">
        <f t="shared" si="13"/>
        <v>1.5620406262276885E-4</v>
      </c>
      <c r="E433" t="s">
        <v>24</v>
      </c>
      <c r="F433" t="s">
        <v>688</v>
      </c>
      <c r="G433" t="s">
        <v>26</v>
      </c>
      <c r="H433" t="s">
        <v>1</v>
      </c>
      <c r="I433" t="s">
        <v>9</v>
      </c>
      <c r="J433" t="s">
        <v>13</v>
      </c>
    </row>
    <row r="434" spans="1:10" x14ac:dyDescent="0.2">
      <c r="A434" t="s">
        <v>824</v>
      </c>
      <c r="B434">
        <v>3.2879999999999998</v>
      </c>
      <c r="C434">
        <f t="shared" si="12"/>
        <v>3.7328431652403682E-2</v>
      </c>
      <c r="D434">
        <f t="shared" si="13"/>
        <v>1.0181559105545669E-4</v>
      </c>
      <c r="E434" t="s">
        <v>23</v>
      </c>
      <c r="F434" t="s">
        <v>688</v>
      </c>
      <c r="G434" t="s">
        <v>26</v>
      </c>
      <c r="H434" t="s">
        <v>1</v>
      </c>
      <c r="I434" t="s">
        <v>9</v>
      </c>
      <c r="J434" t="s">
        <v>13</v>
      </c>
    </row>
    <row r="435" spans="1:10" x14ac:dyDescent="0.2">
      <c r="A435" t="s">
        <v>846</v>
      </c>
      <c r="B435">
        <v>2.597</v>
      </c>
      <c r="C435">
        <f t="shared" si="12"/>
        <v>7.4496733514560778E-2</v>
      </c>
      <c r="D435">
        <f t="shared" si="13"/>
        <v>2.0319441826850606E-4</v>
      </c>
      <c r="E435" t="s">
        <v>10</v>
      </c>
      <c r="F435" t="s">
        <v>688</v>
      </c>
      <c r="G435" t="s">
        <v>26</v>
      </c>
      <c r="H435" t="s">
        <v>1</v>
      </c>
      <c r="I435" t="s">
        <v>9</v>
      </c>
      <c r="J435" t="s">
        <v>13</v>
      </c>
    </row>
    <row r="436" spans="1:10" x14ac:dyDescent="0.2">
      <c r="A436" t="s">
        <v>860</v>
      </c>
      <c r="B436">
        <v>3.45</v>
      </c>
      <c r="C436">
        <f t="shared" si="12"/>
        <v>3.1745636378067939E-2</v>
      </c>
      <c r="D436">
        <f t="shared" si="13"/>
        <v>8.6588173898178333E-5</v>
      </c>
      <c r="E436" t="s">
        <v>11</v>
      </c>
      <c r="F436" t="s">
        <v>688</v>
      </c>
      <c r="G436" t="s">
        <v>26</v>
      </c>
      <c r="H436" t="s">
        <v>1</v>
      </c>
      <c r="I436" t="s">
        <v>9</v>
      </c>
      <c r="J436" t="s">
        <v>13</v>
      </c>
    </row>
    <row r="437" spans="1:10" x14ac:dyDescent="0.2">
      <c r="A437" t="s">
        <v>880</v>
      </c>
      <c r="B437">
        <v>2.597</v>
      </c>
      <c r="C437">
        <f t="shared" si="12"/>
        <v>7.4496733514560778E-2</v>
      </c>
      <c r="D437">
        <f t="shared" si="13"/>
        <v>2.0319441826850606E-4</v>
      </c>
      <c r="E437" t="s">
        <v>12</v>
      </c>
      <c r="F437" t="s">
        <v>688</v>
      </c>
      <c r="G437" t="s">
        <v>26</v>
      </c>
      <c r="H437" t="s">
        <v>1</v>
      </c>
      <c r="I437" t="s">
        <v>9</v>
      </c>
      <c r="J437" t="s">
        <v>13</v>
      </c>
    </row>
    <row r="438" spans="1:10" x14ac:dyDescent="0.2">
      <c r="A438" t="s">
        <v>894</v>
      </c>
      <c r="B438">
        <v>2.597</v>
      </c>
      <c r="C438">
        <f t="shared" si="12"/>
        <v>7.4496733514560778E-2</v>
      </c>
      <c r="D438">
        <f t="shared" si="13"/>
        <v>2.0319441826850606E-4</v>
      </c>
      <c r="E438" t="s">
        <v>5</v>
      </c>
      <c r="F438" t="s">
        <v>688</v>
      </c>
      <c r="G438" t="s">
        <v>26</v>
      </c>
      <c r="H438" t="s">
        <v>1</v>
      </c>
      <c r="I438" t="s">
        <v>9</v>
      </c>
      <c r="J438" t="s">
        <v>13</v>
      </c>
    </row>
    <row r="439" spans="1:10" x14ac:dyDescent="0.2">
      <c r="A439" t="s">
        <v>901</v>
      </c>
      <c r="B439">
        <v>2.597</v>
      </c>
      <c r="C439">
        <f t="shared" si="12"/>
        <v>7.4496733514560778E-2</v>
      </c>
      <c r="D439">
        <f t="shared" si="13"/>
        <v>2.0319441826850606E-4</v>
      </c>
      <c r="E439" t="s">
        <v>22</v>
      </c>
      <c r="F439" t="s">
        <v>688</v>
      </c>
      <c r="G439" t="s">
        <v>26</v>
      </c>
      <c r="H439" t="s">
        <v>1</v>
      </c>
      <c r="I439" t="s">
        <v>9</v>
      </c>
      <c r="J439" t="s">
        <v>13</v>
      </c>
    </row>
    <row r="440" spans="1:10" x14ac:dyDescent="0.2">
      <c r="A440" t="s">
        <v>915</v>
      </c>
      <c r="B440">
        <v>2.597</v>
      </c>
      <c r="C440">
        <f t="shared" si="12"/>
        <v>7.4496733514560778E-2</v>
      </c>
      <c r="D440">
        <f t="shared" si="13"/>
        <v>2.0319441826850606E-4</v>
      </c>
      <c r="E440" t="s">
        <v>13</v>
      </c>
      <c r="F440" t="s">
        <v>688</v>
      </c>
      <c r="G440" t="s">
        <v>26</v>
      </c>
      <c r="H440" t="s">
        <v>1</v>
      </c>
      <c r="I440" t="s">
        <v>9</v>
      </c>
      <c r="J440" t="s">
        <v>13</v>
      </c>
    </row>
    <row r="441" spans="1:10" x14ac:dyDescent="0.2">
      <c r="A441" t="s">
        <v>933</v>
      </c>
      <c r="B441">
        <v>2.597</v>
      </c>
      <c r="C441">
        <f t="shared" si="12"/>
        <v>7.4496733514560778E-2</v>
      </c>
      <c r="D441">
        <f t="shared" si="13"/>
        <v>2.0319441826850606E-4</v>
      </c>
      <c r="E441" t="s">
        <v>2</v>
      </c>
      <c r="F441" t="s">
        <v>688</v>
      </c>
      <c r="G441" t="s">
        <v>26</v>
      </c>
      <c r="H441" t="s">
        <v>1</v>
      </c>
      <c r="I441" t="s">
        <v>9</v>
      </c>
      <c r="J441" t="s">
        <v>13</v>
      </c>
    </row>
    <row r="442" spans="1:10" x14ac:dyDescent="0.2">
      <c r="A442" t="s">
        <v>946</v>
      </c>
      <c r="B442">
        <v>2.597</v>
      </c>
      <c r="C442">
        <f t="shared" si="12"/>
        <v>7.4496733514560778E-2</v>
      </c>
      <c r="D442">
        <f t="shared" si="13"/>
        <v>2.0319441826850606E-4</v>
      </c>
      <c r="E442" t="s">
        <v>14</v>
      </c>
      <c r="F442" t="s">
        <v>688</v>
      </c>
      <c r="G442" t="s">
        <v>26</v>
      </c>
      <c r="H442" t="s">
        <v>1</v>
      </c>
      <c r="I442" t="s">
        <v>9</v>
      </c>
      <c r="J442" t="s">
        <v>13</v>
      </c>
    </row>
    <row r="443" spans="1:10" x14ac:dyDescent="0.2">
      <c r="A443" t="s">
        <v>954</v>
      </c>
      <c r="B443">
        <v>2.597</v>
      </c>
      <c r="C443">
        <f t="shared" si="12"/>
        <v>7.4496733514560778E-2</v>
      </c>
      <c r="D443">
        <f t="shared" si="13"/>
        <v>2.0319441826850606E-4</v>
      </c>
      <c r="E443" t="s">
        <v>1</v>
      </c>
      <c r="F443" t="s">
        <v>688</v>
      </c>
      <c r="G443" t="s">
        <v>26</v>
      </c>
      <c r="H443" t="s">
        <v>1</v>
      </c>
      <c r="I443" t="s">
        <v>9</v>
      </c>
      <c r="J443" t="s">
        <v>13</v>
      </c>
    </row>
    <row r="444" spans="1:10" x14ac:dyDescent="0.2">
      <c r="A444" t="s">
        <v>967</v>
      </c>
      <c r="B444">
        <v>2.9740000000000002</v>
      </c>
      <c r="C444">
        <f t="shared" si="12"/>
        <v>5.1098506970385579E-2</v>
      </c>
      <c r="D444">
        <f t="shared" si="13"/>
        <v>1.3937431761631939E-4</v>
      </c>
      <c r="E444" t="s">
        <v>15</v>
      </c>
      <c r="F444" t="s">
        <v>688</v>
      </c>
      <c r="G444" t="s">
        <v>26</v>
      </c>
      <c r="H444" t="s">
        <v>1</v>
      </c>
      <c r="I444" t="s">
        <v>9</v>
      </c>
      <c r="J444" t="s">
        <v>13</v>
      </c>
    </row>
    <row r="445" spans="1:10" x14ac:dyDescent="0.2">
      <c r="A445" t="s">
        <v>985</v>
      </c>
      <c r="B445">
        <v>2.597</v>
      </c>
      <c r="C445">
        <f t="shared" si="12"/>
        <v>7.4496733514560778E-2</v>
      </c>
      <c r="D445">
        <f t="shared" si="13"/>
        <v>2.0319441826850606E-4</v>
      </c>
      <c r="E445" t="s">
        <v>16</v>
      </c>
      <c r="F445" t="s">
        <v>688</v>
      </c>
      <c r="G445" t="s">
        <v>26</v>
      </c>
      <c r="H445" t="s">
        <v>1</v>
      </c>
      <c r="I445" t="s">
        <v>9</v>
      </c>
      <c r="J445" t="s">
        <v>13</v>
      </c>
    </row>
    <row r="446" spans="1:10" x14ac:dyDescent="0.2">
      <c r="A446" t="s">
        <v>1000</v>
      </c>
      <c r="B446">
        <v>3.8769999999999998</v>
      </c>
      <c r="C446">
        <f t="shared" si="12"/>
        <v>2.0712870678969476E-2</v>
      </c>
      <c r="D446">
        <f t="shared" si="13"/>
        <v>5.6495627522532628E-5</v>
      </c>
      <c r="E446" t="s">
        <v>25</v>
      </c>
      <c r="F446" t="s">
        <v>688</v>
      </c>
      <c r="G446" t="s">
        <v>26</v>
      </c>
      <c r="H446" t="s">
        <v>1</v>
      </c>
      <c r="I446" t="s">
        <v>9</v>
      </c>
      <c r="J446" t="s">
        <v>13</v>
      </c>
    </row>
    <row r="447" spans="1:10" x14ac:dyDescent="0.2">
      <c r="A447" t="s">
        <v>1028</v>
      </c>
      <c r="B447">
        <v>3.0489999999999999</v>
      </c>
      <c r="C447">
        <f t="shared" si="12"/>
        <v>4.7406307002889392E-2</v>
      </c>
      <c r="D447">
        <f t="shared" si="13"/>
        <v>1.2930361533002724E-4</v>
      </c>
      <c r="E447" t="s">
        <v>17</v>
      </c>
      <c r="F447" t="s">
        <v>688</v>
      </c>
      <c r="G447" t="s">
        <v>26</v>
      </c>
      <c r="H447" t="s">
        <v>1</v>
      </c>
      <c r="I447" t="s">
        <v>9</v>
      </c>
      <c r="J447" t="s">
        <v>13</v>
      </c>
    </row>
    <row r="448" spans="1:10" x14ac:dyDescent="0.2">
      <c r="A448" t="s">
        <v>1057</v>
      </c>
      <c r="B448">
        <v>5.5869999999999997</v>
      </c>
      <c r="C448">
        <f t="shared" si="12"/>
        <v>3.7462497727277617E-3</v>
      </c>
      <c r="D448">
        <f t="shared" si="13"/>
        <v>1.0218126451264561E-5</v>
      </c>
      <c r="E448" t="s">
        <v>19</v>
      </c>
      <c r="F448" t="s">
        <v>688</v>
      </c>
      <c r="G448" t="s">
        <v>26</v>
      </c>
      <c r="H448" t="s">
        <v>1</v>
      </c>
      <c r="I448" t="s">
        <v>9</v>
      </c>
      <c r="J448" t="s">
        <v>13</v>
      </c>
    </row>
    <row r="449" spans="1:10" x14ac:dyDescent="0.2">
      <c r="A449" t="s">
        <v>1087</v>
      </c>
      <c r="B449">
        <v>3.25</v>
      </c>
      <c r="C449">
        <f t="shared" si="12"/>
        <v>3.8774207831722009E-2</v>
      </c>
      <c r="D449">
        <f t="shared" si="13"/>
        <v>1.0575903442328745E-4</v>
      </c>
      <c r="E449" t="s">
        <v>20</v>
      </c>
      <c r="F449" t="s">
        <v>688</v>
      </c>
      <c r="G449" t="s">
        <v>26</v>
      </c>
      <c r="H449" t="s">
        <v>1</v>
      </c>
      <c r="I449" t="s">
        <v>9</v>
      </c>
      <c r="J449" t="s">
        <v>13</v>
      </c>
    </row>
    <row r="450" spans="1:10" x14ac:dyDescent="0.2">
      <c r="A450" t="s">
        <v>746</v>
      </c>
      <c r="B450">
        <v>0.68</v>
      </c>
      <c r="C450">
        <f t="shared" si="12"/>
        <v>0.50661699236558955</v>
      </c>
      <c r="D450">
        <f t="shared" si="13"/>
        <v>1.3818289768174285E-3</v>
      </c>
      <c r="E450" t="s">
        <v>8</v>
      </c>
      <c r="F450" t="s">
        <v>688</v>
      </c>
      <c r="G450" t="s">
        <v>23</v>
      </c>
      <c r="H450" t="s">
        <v>1</v>
      </c>
      <c r="I450" t="s">
        <v>9</v>
      </c>
      <c r="J450" t="s">
        <v>13</v>
      </c>
    </row>
    <row r="451" spans="1:10" x14ac:dyDescent="0.2">
      <c r="A451" t="s">
        <v>781</v>
      </c>
      <c r="B451">
        <v>1.9470000000000001</v>
      </c>
      <c r="C451">
        <f t="shared" ref="C451:C514" si="14">EXP(-B451)</f>
        <v>0.14270153467530902</v>
      </c>
      <c r="D451">
        <f t="shared" ref="D451:D514" si="15">C451/366.627854</f>
        <v>3.8922720442105036E-4</v>
      </c>
      <c r="E451" t="s">
        <v>26</v>
      </c>
      <c r="F451" t="s">
        <v>688</v>
      </c>
      <c r="G451" t="s">
        <v>23</v>
      </c>
      <c r="H451" t="s">
        <v>1</v>
      </c>
      <c r="I451" t="s">
        <v>9</v>
      </c>
      <c r="J451" t="s">
        <v>13</v>
      </c>
    </row>
    <row r="452" spans="1:10" x14ac:dyDescent="0.2">
      <c r="A452" t="s">
        <v>848</v>
      </c>
      <c r="B452">
        <v>0.30299999999999999</v>
      </c>
      <c r="C452">
        <f t="shared" si="14"/>
        <v>0.7385990963704826</v>
      </c>
      <c r="D452">
        <f t="shared" si="15"/>
        <v>2.0145744201161609E-3</v>
      </c>
      <c r="E452" t="s">
        <v>10</v>
      </c>
      <c r="F452" t="s">
        <v>688</v>
      </c>
      <c r="G452" t="s">
        <v>23</v>
      </c>
      <c r="H452" t="s">
        <v>1</v>
      </c>
      <c r="I452" t="s">
        <v>9</v>
      </c>
      <c r="J452" t="s">
        <v>13</v>
      </c>
    </row>
    <row r="453" spans="1:10" x14ac:dyDescent="0.2">
      <c r="A453" t="s">
        <v>881</v>
      </c>
      <c r="B453">
        <v>0.30299999999999999</v>
      </c>
      <c r="C453">
        <f t="shared" si="14"/>
        <v>0.7385990963704826</v>
      </c>
      <c r="D453">
        <f t="shared" si="15"/>
        <v>2.0145744201161609E-3</v>
      </c>
      <c r="E453" t="s">
        <v>12</v>
      </c>
      <c r="F453" t="s">
        <v>688</v>
      </c>
      <c r="G453" t="s">
        <v>23</v>
      </c>
      <c r="H453" t="s">
        <v>1</v>
      </c>
      <c r="I453" t="s">
        <v>9</v>
      </c>
      <c r="J453" t="s">
        <v>13</v>
      </c>
    </row>
    <row r="454" spans="1:10" x14ac:dyDescent="0.2">
      <c r="A454" t="s">
        <v>895</v>
      </c>
      <c r="B454">
        <v>0.30299999999999999</v>
      </c>
      <c r="C454">
        <f t="shared" si="14"/>
        <v>0.7385990963704826</v>
      </c>
      <c r="D454">
        <f t="shared" si="15"/>
        <v>2.0145744201161609E-3</v>
      </c>
      <c r="E454" t="s">
        <v>5</v>
      </c>
      <c r="F454" t="s">
        <v>688</v>
      </c>
      <c r="G454" t="s">
        <v>23</v>
      </c>
      <c r="H454" t="s">
        <v>1</v>
      </c>
      <c r="I454" t="s">
        <v>9</v>
      </c>
      <c r="J454" t="s">
        <v>13</v>
      </c>
    </row>
    <row r="455" spans="1:10" x14ac:dyDescent="0.2">
      <c r="A455" t="s">
        <v>968</v>
      </c>
      <c r="B455">
        <v>0.68</v>
      </c>
      <c r="C455">
        <f t="shared" si="14"/>
        <v>0.50661699236558955</v>
      </c>
      <c r="D455">
        <f t="shared" si="15"/>
        <v>1.3818289768174285E-3</v>
      </c>
      <c r="E455" t="s">
        <v>15</v>
      </c>
      <c r="F455" t="s">
        <v>688</v>
      </c>
      <c r="G455" t="s">
        <v>23</v>
      </c>
      <c r="H455" t="s">
        <v>1</v>
      </c>
      <c r="I455" t="s">
        <v>9</v>
      </c>
      <c r="J455" t="s">
        <v>13</v>
      </c>
    </row>
    <row r="456" spans="1:10" x14ac:dyDescent="0.2">
      <c r="A456" t="s">
        <v>1002</v>
      </c>
      <c r="B456">
        <v>1.583</v>
      </c>
      <c r="C456">
        <f t="shared" si="14"/>
        <v>0.20535809887201756</v>
      </c>
      <c r="D456">
        <f t="shared" si="15"/>
        <v>5.6012683333115645E-4</v>
      </c>
      <c r="E456" t="s">
        <v>25</v>
      </c>
      <c r="F456" t="s">
        <v>688</v>
      </c>
      <c r="G456" t="s">
        <v>23</v>
      </c>
      <c r="H456" t="s">
        <v>1</v>
      </c>
      <c r="I456" t="s">
        <v>9</v>
      </c>
      <c r="J456" t="s">
        <v>13</v>
      </c>
    </row>
    <row r="457" spans="1:10" x14ac:dyDescent="0.2">
      <c r="A457" t="s">
        <v>1059</v>
      </c>
      <c r="B457">
        <v>3.2930000000000001</v>
      </c>
      <c r="C457">
        <f t="shared" si="14"/>
        <v>3.7142255322832773E-2</v>
      </c>
      <c r="D457">
        <f t="shared" si="15"/>
        <v>1.0130778367655823E-4</v>
      </c>
      <c r="E457" t="s">
        <v>19</v>
      </c>
      <c r="F457" t="s">
        <v>688</v>
      </c>
      <c r="G457" t="s">
        <v>23</v>
      </c>
      <c r="H457" t="s">
        <v>1</v>
      </c>
      <c r="I457" t="s">
        <v>9</v>
      </c>
      <c r="J457" t="s">
        <v>13</v>
      </c>
    </row>
    <row r="458" spans="1:10" x14ac:dyDescent="0.2">
      <c r="A458" t="s">
        <v>729</v>
      </c>
      <c r="B458">
        <v>1.85</v>
      </c>
      <c r="C458">
        <f t="shared" si="14"/>
        <v>0.15723716631362761</v>
      </c>
      <c r="D458">
        <f t="shared" si="15"/>
        <v>4.288740328868401E-4</v>
      </c>
      <c r="E458" t="s">
        <v>0</v>
      </c>
      <c r="F458" t="s">
        <v>688</v>
      </c>
      <c r="G458" t="s">
        <v>11</v>
      </c>
      <c r="H458" t="s">
        <v>1</v>
      </c>
      <c r="I458" t="s">
        <v>9</v>
      </c>
      <c r="J458" t="s">
        <v>13</v>
      </c>
    </row>
    <row r="459" spans="1:10" x14ac:dyDescent="0.2">
      <c r="A459" t="s">
        <v>747</v>
      </c>
      <c r="B459">
        <v>2.2269999999999999</v>
      </c>
      <c r="C459">
        <f t="shared" si="14"/>
        <v>0.10785149978837902</v>
      </c>
      <c r="D459">
        <f t="shared" si="15"/>
        <v>2.94171592833694E-4</v>
      </c>
      <c r="E459" t="s">
        <v>8</v>
      </c>
      <c r="F459" t="s">
        <v>688</v>
      </c>
      <c r="G459" t="s">
        <v>11</v>
      </c>
      <c r="H459" t="s">
        <v>1</v>
      </c>
      <c r="I459" t="s">
        <v>9</v>
      </c>
      <c r="J459" t="s">
        <v>13</v>
      </c>
    </row>
    <row r="460" spans="1:10" x14ac:dyDescent="0.2">
      <c r="A460" t="s">
        <v>764</v>
      </c>
      <c r="B460">
        <v>1.85</v>
      </c>
      <c r="C460">
        <f t="shared" si="14"/>
        <v>0.15723716631362761</v>
      </c>
      <c r="D460">
        <f t="shared" si="15"/>
        <v>4.288740328868401E-4</v>
      </c>
      <c r="E460" t="s">
        <v>9</v>
      </c>
      <c r="F460" t="s">
        <v>688</v>
      </c>
      <c r="G460" t="s">
        <v>11</v>
      </c>
      <c r="H460" t="s">
        <v>1</v>
      </c>
      <c r="I460" t="s">
        <v>9</v>
      </c>
      <c r="J460" t="s">
        <v>13</v>
      </c>
    </row>
    <row r="461" spans="1:10" x14ac:dyDescent="0.2">
      <c r="A461" t="s">
        <v>782</v>
      </c>
      <c r="B461">
        <v>3.4940000000000002</v>
      </c>
      <c r="C461">
        <f t="shared" si="14"/>
        <v>3.0379112364492429E-2</v>
      </c>
      <c r="D461">
        <f t="shared" si="15"/>
        <v>8.2860895682226117E-5</v>
      </c>
      <c r="E461" t="s">
        <v>26</v>
      </c>
      <c r="F461" t="s">
        <v>688</v>
      </c>
      <c r="G461" t="s">
        <v>11</v>
      </c>
      <c r="H461" t="s">
        <v>1</v>
      </c>
      <c r="I461" t="s">
        <v>9</v>
      </c>
      <c r="J461" t="s">
        <v>13</v>
      </c>
    </row>
    <row r="462" spans="1:10" x14ac:dyDescent="0.2">
      <c r="A462" t="s">
        <v>810</v>
      </c>
      <c r="B462">
        <v>2.113</v>
      </c>
      <c r="C462">
        <f t="shared" si="14"/>
        <v>0.12087479755976856</v>
      </c>
      <c r="D462">
        <f t="shared" si="15"/>
        <v>3.2969343774891843E-4</v>
      </c>
      <c r="E462" t="s">
        <v>24</v>
      </c>
      <c r="F462" t="s">
        <v>688</v>
      </c>
      <c r="G462" t="s">
        <v>11</v>
      </c>
      <c r="H462" t="s">
        <v>1</v>
      </c>
      <c r="I462" t="s">
        <v>9</v>
      </c>
      <c r="J462" t="s">
        <v>13</v>
      </c>
    </row>
    <row r="463" spans="1:10" x14ac:dyDescent="0.2">
      <c r="A463" t="s">
        <v>825</v>
      </c>
      <c r="B463">
        <v>2.5409999999999999</v>
      </c>
      <c r="C463">
        <f t="shared" si="14"/>
        <v>7.8787572810943063E-2</v>
      </c>
      <c r="D463">
        <f t="shared" si="15"/>
        <v>2.1489794610898019E-4</v>
      </c>
      <c r="E463" t="s">
        <v>23</v>
      </c>
      <c r="F463" t="s">
        <v>688</v>
      </c>
      <c r="G463" t="s">
        <v>11</v>
      </c>
      <c r="H463" t="s">
        <v>1</v>
      </c>
      <c r="I463" t="s">
        <v>9</v>
      </c>
      <c r="J463" t="s">
        <v>13</v>
      </c>
    </row>
    <row r="464" spans="1:10" x14ac:dyDescent="0.2">
      <c r="A464" t="s">
        <v>849</v>
      </c>
      <c r="B464">
        <v>1.85</v>
      </c>
      <c r="C464">
        <f t="shared" si="14"/>
        <v>0.15723716631362761</v>
      </c>
      <c r="D464">
        <f t="shared" si="15"/>
        <v>4.288740328868401E-4</v>
      </c>
      <c r="E464" t="s">
        <v>10</v>
      </c>
      <c r="F464" t="s">
        <v>688</v>
      </c>
      <c r="G464" t="s">
        <v>11</v>
      </c>
      <c r="H464" t="s">
        <v>1</v>
      </c>
      <c r="I464" t="s">
        <v>9</v>
      </c>
      <c r="J464" t="s">
        <v>13</v>
      </c>
    </row>
    <row r="465" spans="1:10" x14ac:dyDescent="0.2">
      <c r="A465" t="s">
        <v>861</v>
      </c>
      <c r="B465">
        <v>2.702</v>
      </c>
      <c r="C465">
        <f t="shared" si="14"/>
        <v>6.7071236035733187E-2</v>
      </c>
      <c r="D465">
        <f t="shared" si="15"/>
        <v>1.8294091761978669E-4</v>
      </c>
      <c r="E465" t="s">
        <v>11</v>
      </c>
      <c r="F465" t="s">
        <v>688</v>
      </c>
      <c r="G465" t="s">
        <v>11</v>
      </c>
      <c r="H465" t="s">
        <v>1</v>
      </c>
      <c r="I465" t="s">
        <v>9</v>
      </c>
      <c r="J465" t="s">
        <v>13</v>
      </c>
    </row>
    <row r="466" spans="1:10" x14ac:dyDescent="0.2">
      <c r="A466" t="s">
        <v>882</v>
      </c>
      <c r="B466">
        <v>1.85</v>
      </c>
      <c r="C466">
        <f t="shared" si="14"/>
        <v>0.15723716631362761</v>
      </c>
      <c r="D466">
        <f t="shared" si="15"/>
        <v>4.288740328868401E-4</v>
      </c>
      <c r="E466" t="s">
        <v>12</v>
      </c>
      <c r="F466" t="s">
        <v>688</v>
      </c>
      <c r="G466" t="s">
        <v>11</v>
      </c>
      <c r="H466" t="s">
        <v>1</v>
      </c>
      <c r="I466" t="s">
        <v>9</v>
      </c>
      <c r="J466" t="s">
        <v>13</v>
      </c>
    </row>
    <row r="467" spans="1:10" x14ac:dyDescent="0.2">
      <c r="A467" t="s">
        <v>896</v>
      </c>
      <c r="B467">
        <v>1.85</v>
      </c>
      <c r="C467">
        <f t="shared" si="14"/>
        <v>0.15723716631362761</v>
      </c>
      <c r="D467">
        <f t="shared" si="15"/>
        <v>4.288740328868401E-4</v>
      </c>
      <c r="E467" t="s">
        <v>5</v>
      </c>
      <c r="F467" t="s">
        <v>688</v>
      </c>
      <c r="G467" t="s">
        <v>11</v>
      </c>
      <c r="H467" t="s">
        <v>1</v>
      </c>
      <c r="I467" t="s">
        <v>9</v>
      </c>
      <c r="J467" t="s">
        <v>13</v>
      </c>
    </row>
    <row r="468" spans="1:10" x14ac:dyDescent="0.2">
      <c r="A468" t="s">
        <v>917</v>
      </c>
      <c r="B468">
        <v>1.85</v>
      </c>
      <c r="C468">
        <f t="shared" si="14"/>
        <v>0.15723716631362761</v>
      </c>
      <c r="D468">
        <f t="shared" si="15"/>
        <v>4.288740328868401E-4</v>
      </c>
      <c r="E468" t="s">
        <v>13</v>
      </c>
      <c r="F468" t="s">
        <v>688</v>
      </c>
      <c r="G468" t="s">
        <v>11</v>
      </c>
      <c r="H468" t="s">
        <v>1</v>
      </c>
      <c r="I468" t="s">
        <v>9</v>
      </c>
      <c r="J468" t="s">
        <v>13</v>
      </c>
    </row>
    <row r="469" spans="1:10" x14ac:dyDescent="0.2">
      <c r="A469" t="s">
        <v>935</v>
      </c>
      <c r="B469">
        <v>1.85</v>
      </c>
      <c r="C469">
        <f t="shared" si="14"/>
        <v>0.15723716631362761</v>
      </c>
      <c r="D469">
        <f t="shared" si="15"/>
        <v>4.288740328868401E-4</v>
      </c>
      <c r="E469" t="s">
        <v>2</v>
      </c>
      <c r="F469" t="s">
        <v>688</v>
      </c>
      <c r="G469" t="s">
        <v>11</v>
      </c>
      <c r="H469" t="s">
        <v>1</v>
      </c>
      <c r="I469" t="s">
        <v>9</v>
      </c>
      <c r="J469" t="s">
        <v>13</v>
      </c>
    </row>
    <row r="470" spans="1:10" x14ac:dyDescent="0.2">
      <c r="A470" t="s">
        <v>956</v>
      </c>
      <c r="B470">
        <v>1.85</v>
      </c>
      <c r="C470">
        <f t="shared" si="14"/>
        <v>0.15723716631362761</v>
      </c>
      <c r="D470">
        <f t="shared" si="15"/>
        <v>4.288740328868401E-4</v>
      </c>
      <c r="E470" t="s">
        <v>1</v>
      </c>
      <c r="F470" t="s">
        <v>688</v>
      </c>
      <c r="G470" t="s">
        <v>11</v>
      </c>
      <c r="H470" t="s">
        <v>1</v>
      </c>
      <c r="I470" t="s">
        <v>9</v>
      </c>
      <c r="J470" t="s">
        <v>13</v>
      </c>
    </row>
    <row r="471" spans="1:10" x14ac:dyDescent="0.2">
      <c r="A471" t="s">
        <v>969</v>
      </c>
      <c r="B471">
        <v>2.2269999999999999</v>
      </c>
      <c r="C471">
        <f t="shared" si="14"/>
        <v>0.10785149978837902</v>
      </c>
      <c r="D471">
        <f t="shared" si="15"/>
        <v>2.94171592833694E-4</v>
      </c>
      <c r="E471" t="s">
        <v>15</v>
      </c>
      <c r="F471" t="s">
        <v>688</v>
      </c>
      <c r="G471" t="s">
        <v>11</v>
      </c>
      <c r="H471" t="s">
        <v>1</v>
      </c>
      <c r="I471" t="s">
        <v>9</v>
      </c>
      <c r="J471" t="s">
        <v>13</v>
      </c>
    </row>
    <row r="472" spans="1:10" x14ac:dyDescent="0.2">
      <c r="A472" t="s">
        <v>986</v>
      </c>
      <c r="B472">
        <v>1.85</v>
      </c>
      <c r="C472">
        <f t="shared" si="14"/>
        <v>0.15723716631362761</v>
      </c>
      <c r="D472">
        <f t="shared" si="15"/>
        <v>4.288740328868401E-4</v>
      </c>
      <c r="E472" t="s">
        <v>16</v>
      </c>
      <c r="F472" t="s">
        <v>688</v>
      </c>
      <c r="G472" t="s">
        <v>11</v>
      </c>
      <c r="H472" t="s">
        <v>1</v>
      </c>
      <c r="I472" t="s">
        <v>9</v>
      </c>
      <c r="J472" t="s">
        <v>13</v>
      </c>
    </row>
    <row r="473" spans="1:10" x14ac:dyDescent="0.2">
      <c r="A473" t="s">
        <v>1003</v>
      </c>
      <c r="B473">
        <v>3.13</v>
      </c>
      <c r="C473">
        <f t="shared" si="14"/>
        <v>4.3717797252750941E-2</v>
      </c>
      <c r="D473">
        <f t="shared" si="15"/>
        <v>1.1924297833833143E-4</v>
      </c>
      <c r="E473" t="s">
        <v>25</v>
      </c>
      <c r="F473" t="s">
        <v>688</v>
      </c>
      <c r="G473" t="s">
        <v>11</v>
      </c>
      <c r="H473" t="s">
        <v>1</v>
      </c>
      <c r="I473" t="s">
        <v>9</v>
      </c>
      <c r="J473" t="s">
        <v>13</v>
      </c>
    </row>
    <row r="474" spans="1:10" x14ac:dyDescent="0.2">
      <c r="A474" t="s">
        <v>1030</v>
      </c>
      <c r="B474">
        <v>2.3010000000000002</v>
      </c>
      <c r="C474">
        <f t="shared" si="14"/>
        <v>0.10015863499179714</v>
      </c>
      <c r="D474">
        <f t="shared" si="15"/>
        <v>2.7318883139685598E-4</v>
      </c>
      <c r="E474" t="s">
        <v>17</v>
      </c>
      <c r="F474" t="s">
        <v>688</v>
      </c>
      <c r="G474" t="s">
        <v>11</v>
      </c>
      <c r="H474" t="s">
        <v>1</v>
      </c>
      <c r="I474" t="s">
        <v>9</v>
      </c>
      <c r="J474" t="s">
        <v>13</v>
      </c>
    </row>
    <row r="475" spans="1:10" x14ac:dyDescent="0.2">
      <c r="A475" t="s">
        <v>1046</v>
      </c>
      <c r="B475">
        <v>1.85</v>
      </c>
      <c r="C475">
        <f t="shared" si="14"/>
        <v>0.15723716631362761</v>
      </c>
      <c r="D475">
        <f t="shared" si="15"/>
        <v>4.288740328868401E-4</v>
      </c>
      <c r="E475" t="s">
        <v>18</v>
      </c>
      <c r="F475" t="s">
        <v>688</v>
      </c>
      <c r="G475" t="s">
        <v>11</v>
      </c>
      <c r="H475" t="s">
        <v>1</v>
      </c>
      <c r="I475" t="s">
        <v>9</v>
      </c>
      <c r="J475" t="s">
        <v>13</v>
      </c>
    </row>
    <row r="476" spans="1:10" x14ac:dyDescent="0.2">
      <c r="A476" t="s">
        <v>1060</v>
      </c>
      <c r="B476">
        <v>4.8390000000000004</v>
      </c>
      <c r="C476">
        <f t="shared" si="14"/>
        <v>7.9149650604902286E-3</v>
      </c>
      <c r="D476">
        <f t="shared" si="15"/>
        <v>2.1588553554063102E-5</v>
      </c>
      <c r="E476" t="s">
        <v>19</v>
      </c>
      <c r="F476" t="s">
        <v>688</v>
      </c>
      <c r="G476" t="s">
        <v>11</v>
      </c>
      <c r="H476" t="s">
        <v>1</v>
      </c>
      <c r="I476" t="s">
        <v>9</v>
      </c>
      <c r="J476" t="s">
        <v>13</v>
      </c>
    </row>
    <row r="477" spans="1:10" x14ac:dyDescent="0.2">
      <c r="A477" t="s">
        <v>1088</v>
      </c>
      <c r="B477">
        <v>2.5019999999999998</v>
      </c>
      <c r="C477">
        <f t="shared" si="14"/>
        <v>8.1920992687256305E-2</v>
      </c>
      <c r="D477">
        <f t="shared" si="15"/>
        <v>2.2344454136115992E-4</v>
      </c>
      <c r="E477" t="s">
        <v>20</v>
      </c>
      <c r="F477" t="s">
        <v>688</v>
      </c>
      <c r="G477" t="s">
        <v>11</v>
      </c>
      <c r="H477" t="s">
        <v>1</v>
      </c>
      <c r="I477" t="s">
        <v>9</v>
      </c>
      <c r="J477" t="s">
        <v>13</v>
      </c>
    </row>
    <row r="478" spans="1:10" x14ac:dyDescent="0.2">
      <c r="A478" t="s">
        <v>731</v>
      </c>
      <c r="B478">
        <v>0.755</v>
      </c>
      <c r="C478">
        <f t="shared" si="14"/>
        <v>0.47001061473053796</v>
      </c>
      <c r="D478">
        <f t="shared" si="15"/>
        <v>1.2819828324624183E-3</v>
      </c>
      <c r="E478" t="s">
        <v>0</v>
      </c>
      <c r="F478" t="s">
        <v>688</v>
      </c>
      <c r="G478" t="s">
        <v>17</v>
      </c>
      <c r="H478" t="s">
        <v>1</v>
      </c>
      <c r="I478" t="s">
        <v>9</v>
      </c>
      <c r="J478" t="s">
        <v>13</v>
      </c>
    </row>
    <row r="479" spans="1:10" x14ac:dyDescent="0.2">
      <c r="A479" t="s">
        <v>751</v>
      </c>
      <c r="B479">
        <v>1.1319999999999999</v>
      </c>
      <c r="C479">
        <f t="shared" si="14"/>
        <v>0.32238783554542555</v>
      </c>
      <c r="D479">
        <f t="shared" si="15"/>
        <v>8.7933263124472135E-4</v>
      </c>
      <c r="E479" t="s">
        <v>8</v>
      </c>
      <c r="F479" t="s">
        <v>688</v>
      </c>
      <c r="G479" t="s">
        <v>17</v>
      </c>
      <c r="H479" t="s">
        <v>1</v>
      </c>
      <c r="I479" t="s">
        <v>9</v>
      </c>
      <c r="J479" t="s">
        <v>13</v>
      </c>
    </row>
    <row r="480" spans="1:10" x14ac:dyDescent="0.2">
      <c r="A480" t="s">
        <v>766</v>
      </c>
      <c r="B480">
        <v>0.755</v>
      </c>
      <c r="C480">
        <f t="shared" si="14"/>
        <v>0.47001061473053796</v>
      </c>
      <c r="D480">
        <f t="shared" si="15"/>
        <v>1.2819828324624183E-3</v>
      </c>
      <c r="E480" t="s">
        <v>9</v>
      </c>
      <c r="F480" t="s">
        <v>688</v>
      </c>
      <c r="G480" t="s">
        <v>17</v>
      </c>
      <c r="H480" t="s">
        <v>1</v>
      </c>
      <c r="I480" t="s">
        <v>9</v>
      </c>
      <c r="J480" t="s">
        <v>13</v>
      </c>
    </row>
    <row r="481" spans="1:10" x14ac:dyDescent="0.2">
      <c r="A481" t="s">
        <v>788</v>
      </c>
      <c r="B481">
        <v>2.399</v>
      </c>
      <c r="C481">
        <f t="shared" si="14"/>
        <v>9.0808716616801996E-2</v>
      </c>
      <c r="D481">
        <f t="shared" si="15"/>
        <v>2.4768635450377426E-4</v>
      </c>
      <c r="E481" t="s">
        <v>26</v>
      </c>
      <c r="F481" t="s">
        <v>688</v>
      </c>
      <c r="G481" t="s">
        <v>17</v>
      </c>
      <c r="H481" t="s">
        <v>1</v>
      </c>
      <c r="I481" t="s">
        <v>9</v>
      </c>
      <c r="J481" t="s">
        <v>13</v>
      </c>
    </row>
    <row r="482" spans="1:10" x14ac:dyDescent="0.2">
      <c r="A482" t="s">
        <v>812</v>
      </c>
      <c r="B482">
        <v>1.018</v>
      </c>
      <c r="C482">
        <f t="shared" si="14"/>
        <v>0.36131685172433853</v>
      </c>
      <c r="D482">
        <f t="shared" si="15"/>
        <v>9.8551391494749465E-4</v>
      </c>
      <c r="E482" t="s">
        <v>24</v>
      </c>
      <c r="F482" t="s">
        <v>688</v>
      </c>
      <c r="G482" t="s">
        <v>17</v>
      </c>
      <c r="H482" t="s">
        <v>1</v>
      </c>
      <c r="I482" t="s">
        <v>9</v>
      </c>
      <c r="J482" t="s">
        <v>13</v>
      </c>
    </row>
    <row r="483" spans="1:10" x14ac:dyDescent="0.2">
      <c r="A483" t="s">
        <v>852</v>
      </c>
      <c r="B483">
        <v>0.755</v>
      </c>
      <c r="C483">
        <f t="shared" si="14"/>
        <v>0.47001061473053796</v>
      </c>
      <c r="D483">
        <f t="shared" si="15"/>
        <v>1.2819828324624183E-3</v>
      </c>
      <c r="E483" t="s">
        <v>10</v>
      </c>
      <c r="F483" t="s">
        <v>688</v>
      </c>
      <c r="G483" t="s">
        <v>17</v>
      </c>
      <c r="H483" t="s">
        <v>1</v>
      </c>
      <c r="I483" t="s">
        <v>9</v>
      </c>
      <c r="J483" t="s">
        <v>13</v>
      </c>
    </row>
    <row r="484" spans="1:10" x14ac:dyDescent="0.2">
      <c r="A484" t="s">
        <v>865</v>
      </c>
      <c r="B484">
        <v>1.607</v>
      </c>
      <c r="C484">
        <f t="shared" si="14"/>
        <v>0.20048817731180257</v>
      </c>
      <c r="D484">
        <f t="shared" si="15"/>
        <v>5.4684382303315821E-4</v>
      </c>
      <c r="E484" t="s">
        <v>11</v>
      </c>
      <c r="F484" t="s">
        <v>688</v>
      </c>
      <c r="G484" t="s">
        <v>17</v>
      </c>
      <c r="H484" t="s">
        <v>1</v>
      </c>
      <c r="I484" t="s">
        <v>9</v>
      </c>
      <c r="J484" t="s">
        <v>13</v>
      </c>
    </row>
    <row r="485" spans="1:10" x14ac:dyDescent="0.2">
      <c r="A485" t="s">
        <v>884</v>
      </c>
      <c r="B485">
        <v>0.755</v>
      </c>
      <c r="C485">
        <f t="shared" si="14"/>
        <v>0.47001061473053796</v>
      </c>
      <c r="D485">
        <f t="shared" si="15"/>
        <v>1.2819828324624183E-3</v>
      </c>
      <c r="E485" t="s">
        <v>12</v>
      </c>
      <c r="F485" t="s">
        <v>688</v>
      </c>
      <c r="G485" t="s">
        <v>17</v>
      </c>
      <c r="H485" t="s">
        <v>1</v>
      </c>
      <c r="I485" t="s">
        <v>9</v>
      </c>
      <c r="J485" t="s">
        <v>13</v>
      </c>
    </row>
    <row r="486" spans="1:10" x14ac:dyDescent="0.2">
      <c r="A486" t="s">
        <v>904</v>
      </c>
      <c r="B486">
        <v>0.755</v>
      </c>
      <c r="C486">
        <f t="shared" si="14"/>
        <v>0.47001061473053796</v>
      </c>
      <c r="D486">
        <f t="shared" si="15"/>
        <v>1.2819828324624183E-3</v>
      </c>
      <c r="E486" t="s">
        <v>22</v>
      </c>
      <c r="F486" t="s">
        <v>688</v>
      </c>
      <c r="G486" t="s">
        <v>17</v>
      </c>
      <c r="H486" t="s">
        <v>1</v>
      </c>
      <c r="I486" t="s">
        <v>9</v>
      </c>
      <c r="J486" t="s">
        <v>13</v>
      </c>
    </row>
    <row r="487" spans="1:10" x14ac:dyDescent="0.2">
      <c r="A487" t="s">
        <v>920</v>
      </c>
      <c r="B487">
        <v>0.755</v>
      </c>
      <c r="C487">
        <f t="shared" si="14"/>
        <v>0.47001061473053796</v>
      </c>
      <c r="D487">
        <f t="shared" si="15"/>
        <v>1.2819828324624183E-3</v>
      </c>
      <c r="E487" t="s">
        <v>13</v>
      </c>
      <c r="F487" t="s">
        <v>688</v>
      </c>
      <c r="G487" t="s">
        <v>17</v>
      </c>
      <c r="H487" t="s">
        <v>1</v>
      </c>
      <c r="I487" t="s">
        <v>9</v>
      </c>
      <c r="J487" t="s">
        <v>13</v>
      </c>
    </row>
    <row r="488" spans="1:10" x14ac:dyDescent="0.2">
      <c r="A488" t="s">
        <v>937</v>
      </c>
      <c r="B488">
        <v>0.755</v>
      </c>
      <c r="C488">
        <f t="shared" si="14"/>
        <v>0.47001061473053796</v>
      </c>
      <c r="D488">
        <f t="shared" si="15"/>
        <v>1.2819828324624183E-3</v>
      </c>
      <c r="E488" t="s">
        <v>2</v>
      </c>
      <c r="F488" t="s">
        <v>688</v>
      </c>
      <c r="G488" t="s">
        <v>17</v>
      </c>
      <c r="H488" t="s">
        <v>1</v>
      </c>
      <c r="I488" t="s">
        <v>9</v>
      </c>
      <c r="J488" t="s">
        <v>13</v>
      </c>
    </row>
    <row r="489" spans="1:10" x14ac:dyDescent="0.2">
      <c r="A489" t="s">
        <v>947</v>
      </c>
      <c r="B489">
        <v>0.755</v>
      </c>
      <c r="C489">
        <f t="shared" si="14"/>
        <v>0.47001061473053796</v>
      </c>
      <c r="D489">
        <f t="shared" si="15"/>
        <v>1.2819828324624183E-3</v>
      </c>
      <c r="E489" t="s">
        <v>14</v>
      </c>
      <c r="F489" t="s">
        <v>688</v>
      </c>
      <c r="G489" t="s">
        <v>17</v>
      </c>
      <c r="H489" t="s">
        <v>1</v>
      </c>
      <c r="I489" t="s">
        <v>9</v>
      </c>
      <c r="J489" t="s">
        <v>13</v>
      </c>
    </row>
    <row r="490" spans="1:10" x14ac:dyDescent="0.2">
      <c r="A490" t="s">
        <v>973</v>
      </c>
      <c r="B490">
        <v>1.1319999999999999</v>
      </c>
      <c r="C490">
        <f t="shared" si="14"/>
        <v>0.32238783554542555</v>
      </c>
      <c r="D490">
        <f t="shared" si="15"/>
        <v>8.7933263124472135E-4</v>
      </c>
      <c r="E490" t="s">
        <v>15</v>
      </c>
      <c r="F490" t="s">
        <v>688</v>
      </c>
      <c r="G490" t="s">
        <v>17</v>
      </c>
      <c r="H490" t="s">
        <v>1</v>
      </c>
      <c r="I490" t="s">
        <v>9</v>
      </c>
      <c r="J490" t="s">
        <v>13</v>
      </c>
    </row>
    <row r="491" spans="1:10" x14ac:dyDescent="0.2">
      <c r="A491" t="s">
        <v>989</v>
      </c>
      <c r="B491">
        <v>0.755</v>
      </c>
      <c r="C491">
        <f t="shared" si="14"/>
        <v>0.47001061473053796</v>
      </c>
      <c r="D491">
        <f t="shared" si="15"/>
        <v>1.2819828324624183E-3</v>
      </c>
      <c r="E491" t="s">
        <v>16</v>
      </c>
      <c r="F491" t="s">
        <v>688</v>
      </c>
      <c r="G491" t="s">
        <v>17</v>
      </c>
      <c r="H491" t="s">
        <v>1</v>
      </c>
      <c r="I491" t="s">
        <v>9</v>
      </c>
      <c r="J491" t="s">
        <v>13</v>
      </c>
    </row>
    <row r="492" spans="1:10" x14ac:dyDescent="0.2">
      <c r="A492" t="s">
        <v>1009</v>
      </c>
      <c r="B492">
        <v>2.0350000000000001</v>
      </c>
      <c r="C492">
        <f t="shared" si="14"/>
        <v>0.13068048250402503</v>
      </c>
      <c r="D492">
        <f t="shared" si="15"/>
        <v>3.5643904596519016E-4</v>
      </c>
      <c r="E492" t="s">
        <v>25</v>
      </c>
      <c r="F492" t="s">
        <v>688</v>
      </c>
      <c r="G492" t="s">
        <v>17</v>
      </c>
      <c r="H492" t="s">
        <v>1</v>
      </c>
      <c r="I492" t="s">
        <v>9</v>
      </c>
      <c r="J492" t="s">
        <v>13</v>
      </c>
    </row>
    <row r="493" spans="1:10" x14ac:dyDescent="0.2">
      <c r="A493" t="s">
        <v>1047</v>
      </c>
      <c r="B493">
        <v>0.755</v>
      </c>
      <c r="C493">
        <f t="shared" si="14"/>
        <v>0.47001061473053796</v>
      </c>
      <c r="D493">
        <f t="shared" si="15"/>
        <v>1.2819828324624183E-3</v>
      </c>
      <c r="E493" t="s">
        <v>18</v>
      </c>
      <c r="F493" t="s">
        <v>688</v>
      </c>
      <c r="G493" t="s">
        <v>17</v>
      </c>
      <c r="H493" t="s">
        <v>1</v>
      </c>
      <c r="I493" t="s">
        <v>9</v>
      </c>
      <c r="J493" t="s">
        <v>13</v>
      </c>
    </row>
    <row r="494" spans="1:10" x14ac:dyDescent="0.2">
      <c r="A494" t="s">
        <v>1066</v>
      </c>
      <c r="B494">
        <v>3.7440000000000002</v>
      </c>
      <c r="C494">
        <f t="shared" si="14"/>
        <v>2.3659276498480899E-2</v>
      </c>
      <c r="D494">
        <f t="shared" si="15"/>
        <v>6.4532130443315679E-5</v>
      </c>
      <c r="E494" t="s">
        <v>19</v>
      </c>
      <c r="F494" t="s">
        <v>688</v>
      </c>
      <c r="G494" t="s">
        <v>17</v>
      </c>
      <c r="H494" t="s">
        <v>1</v>
      </c>
      <c r="I494" t="s">
        <v>9</v>
      </c>
      <c r="J494" t="s">
        <v>13</v>
      </c>
    </row>
    <row r="495" spans="1:10" x14ac:dyDescent="0.2">
      <c r="A495" t="s">
        <v>767</v>
      </c>
      <c r="B495">
        <v>0.30299999999999999</v>
      </c>
      <c r="C495">
        <f t="shared" si="14"/>
        <v>0.7385990963704826</v>
      </c>
      <c r="D495">
        <f t="shared" si="15"/>
        <v>2.0145744201161609E-3</v>
      </c>
      <c r="E495" t="s">
        <v>9</v>
      </c>
      <c r="F495" t="s">
        <v>688</v>
      </c>
      <c r="G495" t="s">
        <v>20</v>
      </c>
      <c r="H495" t="s">
        <v>1</v>
      </c>
      <c r="I495" t="s">
        <v>9</v>
      </c>
      <c r="J495" t="s">
        <v>13</v>
      </c>
    </row>
    <row r="496" spans="1:10" x14ac:dyDescent="0.2">
      <c r="A496" t="s">
        <v>789</v>
      </c>
      <c r="B496">
        <v>1.9470000000000001</v>
      </c>
      <c r="C496">
        <f t="shared" si="14"/>
        <v>0.14270153467530902</v>
      </c>
      <c r="D496">
        <f t="shared" si="15"/>
        <v>3.8922720442105036E-4</v>
      </c>
      <c r="E496" t="s">
        <v>26</v>
      </c>
      <c r="F496" t="s">
        <v>688</v>
      </c>
      <c r="G496" t="s">
        <v>20</v>
      </c>
      <c r="H496" t="s">
        <v>1</v>
      </c>
      <c r="I496" t="s">
        <v>9</v>
      </c>
      <c r="J496" t="s">
        <v>13</v>
      </c>
    </row>
    <row r="497" spans="1:10" x14ac:dyDescent="0.2">
      <c r="A497" t="s">
        <v>832</v>
      </c>
      <c r="B497">
        <v>0.99399999999999999</v>
      </c>
      <c r="C497">
        <f t="shared" si="14"/>
        <v>0.37009335291196127</v>
      </c>
      <c r="D497">
        <f t="shared" si="15"/>
        <v>1.0094523612272004E-3</v>
      </c>
      <c r="E497" t="s">
        <v>23</v>
      </c>
      <c r="F497" t="s">
        <v>688</v>
      </c>
      <c r="G497" t="s">
        <v>20</v>
      </c>
      <c r="H497" t="s">
        <v>1</v>
      </c>
      <c r="I497" t="s">
        <v>9</v>
      </c>
      <c r="J497" t="s">
        <v>13</v>
      </c>
    </row>
    <row r="498" spans="1:10" x14ac:dyDescent="0.2">
      <c r="A498" t="s">
        <v>866</v>
      </c>
      <c r="B498">
        <v>1.1559999999999999</v>
      </c>
      <c r="C498">
        <f t="shared" si="14"/>
        <v>0.31474263684278192</v>
      </c>
      <c r="D498">
        <f t="shared" si="15"/>
        <v>8.5847988200804266E-4</v>
      </c>
      <c r="E498" t="s">
        <v>11</v>
      </c>
      <c r="F498" t="s">
        <v>688</v>
      </c>
      <c r="G498" t="s">
        <v>20</v>
      </c>
      <c r="H498" t="s">
        <v>1</v>
      </c>
      <c r="I498" t="s">
        <v>9</v>
      </c>
      <c r="J498" t="s">
        <v>13</v>
      </c>
    </row>
    <row r="499" spans="1:10" x14ac:dyDescent="0.2">
      <c r="A499" t="s">
        <v>885</v>
      </c>
      <c r="B499">
        <v>0.30299999999999999</v>
      </c>
      <c r="C499">
        <f t="shared" si="14"/>
        <v>0.7385990963704826</v>
      </c>
      <c r="D499">
        <f t="shared" si="15"/>
        <v>2.0145744201161609E-3</v>
      </c>
      <c r="E499" t="s">
        <v>12</v>
      </c>
      <c r="F499" t="s">
        <v>688</v>
      </c>
      <c r="G499" t="s">
        <v>20</v>
      </c>
      <c r="H499" t="s">
        <v>1</v>
      </c>
      <c r="I499" t="s">
        <v>9</v>
      </c>
      <c r="J499" t="s">
        <v>13</v>
      </c>
    </row>
    <row r="500" spans="1:10" x14ac:dyDescent="0.2">
      <c r="A500" t="s">
        <v>921</v>
      </c>
      <c r="B500">
        <v>0.30299999999999999</v>
      </c>
      <c r="C500">
        <f t="shared" si="14"/>
        <v>0.7385990963704826</v>
      </c>
      <c r="D500">
        <f t="shared" si="15"/>
        <v>2.0145744201161609E-3</v>
      </c>
      <c r="E500" t="s">
        <v>13</v>
      </c>
      <c r="F500" t="s">
        <v>688</v>
      </c>
      <c r="G500" t="s">
        <v>20</v>
      </c>
      <c r="H500" t="s">
        <v>1</v>
      </c>
      <c r="I500" t="s">
        <v>9</v>
      </c>
      <c r="J500" t="s">
        <v>13</v>
      </c>
    </row>
    <row r="501" spans="1:10" x14ac:dyDescent="0.2">
      <c r="A501" t="s">
        <v>938</v>
      </c>
      <c r="B501">
        <v>0.30299999999999999</v>
      </c>
      <c r="C501">
        <f t="shared" si="14"/>
        <v>0.7385990963704826</v>
      </c>
      <c r="D501">
        <f t="shared" si="15"/>
        <v>2.0145744201161609E-3</v>
      </c>
      <c r="E501" t="s">
        <v>2</v>
      </c>
      <c r="F501" t="s">
        <v>688</v>
      </c>
      <c r="G501" t="s">
        <v>20</v>
      </c>
      <c r="H501" t="s">
        <v>1</v>
      </c>
      <c r="I501" t="s">
        <v>9</v>
      </c>
      <c r="J501" t="s">
        <v>13</v>
      </c>
    </row>
    <row r="502" spans="1:10" x14ac:dyDescent="0.2">
      <c r="A502" t="s">
        <v>958</v>
      </c>
      <c r="B502">
        <v>0.30299999999999999</v>
      </c>
      <c r="C502">
        <f t="shared" si="14"/>
        <v>0.7385990963704826</v>
      </c>
      <c r="D502">
        <f t="shared" si="15"/>
        <v>2.0145744201161609E-3</v>
      </c>
      <c r="E502" t="s">
        <v>1</v>
      </c>
      <c r="F502" t="s">
        <v>688</v>
      </c>
      <c r="G502" t="s">
        <v>20</v>
      </c>
      <c r="H502" t="s">
        <v>1</v>
      </c>
      <c r="I502" t="s">
        <v>9</v>
      </c>
      <c r="J502" t="s">
        <v>13</v>
      </c>
    </row>
    <row r="503" spans="1:10" x14ac:dyDescent="0.2">
      <c r="A503" t="s">
        <v>974</v>
      </c>
      <c r="B503">
        <v>0.68</v>
      </c>
      <c r="C503">
        <f t="shared" si="14"/>
        <v>0.50661699236558955</v>
      </c>
      <c r="D503">
        <f t="shared" si="15"/>
        <v>1.3818289768174285E-3</v>
      </c>
      <c r="E503" t="s">
        <v>15</v>
      </c>
      <c r="F503" t="s">
        <v>688</v>
      </c>
      <c r="G503" t="s">
        <v>20</v>
      </c>
      <c r="H503" t="s">
        <v>1</v>
      </c>
      <c r="I503" t="s">
        <v>9</v>
      </c>
      <c r="J503" t="s">
        <v>13</v>
      </c>
    </row>
    <row r="504" spans="1:10" x14ac:dyDescent="0.2">
      <c r="A504" t="s">
        <v>1010</v>
      </c>
      <c r="B504">
        <v>1.583</v>
      </c>
      <c r="C504">
        <f t="shared" si="14"/>
        <v>0.20535809887201756</v>
      </c>
      <c r="D504">
        <f t="shared" si="15"/>
        <v>5.6012683333115645E-4</v>
      </c>
      <c r="E504" t="s">
        <v>25</v>
      </c>
      <c r="F504" t="s">
        <v>688</v>
      </c>
      <c r="G504" t="s">
        <v>20</v>
      </c>
      <c r="H504" t="s">
        <v>1</v>
      </c>
      <c r="I504" t="s">
        <v>9</v>
      </c>
      <c r="J504" t="s">
        <v>13</v>
      </c>
    </row>
    <row r="505" spans="1:10" x14ac:dyDescent="0.2">
      <c r="A505" t="s">
        <v>1033</v>
      </c>
      <c r="B505">
        <v>0.755</v>
      </c>
      <c r="C505">
        <f t="shared" si="14"/>
        <v>0.47001061473053796</v>
      </c>
      <c r="D505">
        <f t="shared" si="15"/>
        <v>1.2819828324624183E-3</v>
      </c>
      <c r="E505" t="s">
        <v>17</v>
      </c>
      <c r="F505" t="s">
        <v>688</v>
      </c>
      <c r="G505" t="s">
        <v>20</v>
      </c>
      <c r="H505" t="s">
        <v>1</v>
      </c>
      <c r="I505" t="s">
        <v>9</v>
      </c>
      <c r="J505" t="s">
        <v>13</v>
      </c>
    </row>
    <row r="506" spans="1:10" x14ac:dyDescent="0.2">
      <c r="A506" t="s">
        <v>1067</v>
      </c>
      <c r="B506">
        <v>3.2930000000000001</v>
      </c>
      <c r="C506">
        <f t="shared" si="14"/>
        <v>3.7142255322832773E-2</v>
      </c>
      <c r="D506">
        <f t="shared" si="15"/>
        <v>1.0130778367655823E-4</v>
      </c>
      <c r="E506" t="s">
        <v>19</v>
      </c>
      <c r="F506" t="s">
        <v>688</v>
      </c>
      <c r="G506" t="s">
        <v>20</v>
      </c>
      <c r="H506" t="s">
        <v>1</v>
      </c>
      <c r="I506" t="s">
        <v>9</v>
      </c>
      <c r="J506" t="s">
        <v>13</v>
      </c>
    </row>
    <row r="507" spans="1:10" x14ac:dyDescent="0.2">
      <c r="A507" t="s">
        <v>1093</v>
      </c>
      <c r="B507">
        <v>0.95599999999999996</v>
      </c>
      <c r="C507">
        <f t="shared" si="14"/>
        <v>0.38442752475037856</v>
      </c>
      <c r="D507">
        <f t="shared" si="15"/>
        <v>1.0485496957096407E-3</v>
      </c>
      <c r="E507" t="s">
        <v>20</v>
      </c>
      <c r="F507" t="s">
        <v>688</v>
      </c>
      <c r="G507" t="s">
        <v>20</v>
      </c>
      <c r="H507" t="s">
        <v>1</v>
      </c>
      <c r="I507" t="s">
        <v>9</v>
      </c>
      <c r="J507" t="s">
        <v>13</v>
      </c>
    </row>
    <row r="508" spans="1:10" x14ac:dyDescent="0.2">
      <c r="A508" t="s">
        <v>732</v>
      </c>
      <c r="B508">
        <v>3.5569999999999999</v>
      </c>
      <c r="C508">
        <f t="shared" si="14"/>
        <v>2.8524269291109027E-2</v>
      </c>
      <c r="D508">
        <f t="shared" si="15"/>
        <v>7.7801697224862314E-5</v>
      </c>
      <c r="E508" t="s">
        <v>0</v>
      </c>
      <c r="F508" t="s">
        <v>688</v>
      </c>
      <c r="G508" t="s">
        <v>1107</v>
      </c>
      <c r="H508" t="s">
        <v>1</v>
      </c>
      <c r="I508" t="s">
        <v>9</v>
      </c>
      <c r="J508" t="s">
        <v>13</v>
      </c>
    </row>
    <row r="509" spans="1:10" x14ac:dyDescent="0.2">
      <c r="A509" t="s">
        <v>752</v>
      </c>
      <c r="B509">
        <v>3.9340000000000002</v>
      </c>
      <c r="C509">
        <f t="shared" si="14"/>
        <v>1.9565254802910312E-2</v>
      </c>
      <c r="D509">
        <f t="shared" si="15"/>
        <v>5.3365434702924429E-5</v>
      </c>
      <c r="E509" t="s">
        <v>8</v>
      </c>
      <c r="F509" t="s">
        <v>688</v>
      </c>
      <c r="G509" t="s">
        <v>1107</v>
      </c>
      <c r="H509" t="s">
        <v>1</v>
      </c>
      <c r="I509" t="s">
        <v>9</v>
      </c>
      <c r="J509" t="s">
        <v>13</v>
      </c>
    </row>
    <row r="510" spans="1:10" x14ac:dyDescent="0.2">
      <c r="A510" t="s">
        <v>768</v>
      </c>
      <c r="B510">
        <v>3.5569999999999999</v>
      </c>
      <c r="C510">
        <f t="shared" si="14"/>
        <v>2.8524269291109027E-2</v>
      </c>
      <c r="D510">
        <f t="shared" si="15"/>
        <v>7.7801697224862314E-5</v>
      </c>
      <c r="E510" t="s">
        <v>9</v>
      </c>
      <c r="F510" t="s">
        <v>688</v>
      </c>
      <c r="G510" t="s">
        <v>1107</v>
      </c>
      <c r="H510" t="s">
        <v>1</v>
      </c>
      <c r="I510" t="s">
        <v>9</v>
      </c>
      <c r="J510" t="s">
        <v>13</v>
      </c>
    </row>
    <row r="511" spans="1:10" x14ac:dyDescent="0.2">
      <c r="A511" t="s">
        <v>790</v>
      </c>
      <c r="B511">
        <v>5.2009999999999996</v>
      </c>
      <c r="C511">
        <f t="shared" si="14"/>
        <v>5.5110506137030267E-3</v>
      </c>
      <c r="D511">
        <f t="shared" si="15"/>
        <v>1.503172918690195E-5</v>
      </c>
      <c r="E511" t="s">
        <v>26</v>
      </c>
      <c r="F511" t="s">
        <v>688</v>
      </c>
      <c r="G511" t="s">
        <v>1107</v>
      </c>
      <c r="H511" t="s">
        <v>1</v>
      </c>
      <c r="I511" t="s">
        <v>9</v>
      </c>
      <c r="J511" t="s">
        <v>13</v>
      </c>
    </row>
    <row r="512" spans="1:10" x14ac:dyDescent="0.2">
      <c r="A512" t="s">
        <v>813</v>
      </c>
      <c r="B512">
        <v>3.82</v>
      </c>
      <c r="C512">
        <f t="shared" si="14"/>
        <v>2.192780089426162E-2</v>
      </c>
      <c r="D512">
        <f t="shared" si="15"/>
        <v>5.9809424338669098E-5</v>
      </c>
      <c r="E512" t="s">
        <v>24</v>
      </c>
      <c r="F512" t="s">
        <v>688</v>
      </c>
      <c r="G512" t="s">
        <v>1107</v>
      </c>
      <c r="H512" t="s">
        <v>1</v>
      </c>
      <c r="I512" t="s">
        <v>9</v>
      </c>
      <c r="J512" t="s">
        <v>13</v>
      </c>
    </row>
    <row r="513" spans="1:10" x14ac:dyDescent="0.2">
      <c r="A513" t="s">
        <v>833</v>
      </c>
      <c r="B513">
        <v>4.2480000000000002</v>
      </c>
      <c r="C513">
        <f t="shared" si="14"/>
        <v>1.4292790924313561E-2</v>
      </c>
      <c r="D513">
        <f t="shared" si="15"/>
        <v>3.8984465496485601E-5</v>
      </c>
      <c r="E513" t="s">
        <v>23</v>
      </c>
      <c r="F513" t="s">
        <v>688</v>
      </c>
      <c r="G513" t="s">
        <v>1107</v>
      </c>
      <c r="H513" t="s">
        <v>1</v>
      </c>
      <c r="I513" t="s">
        <v>9</v>
      </c>
      <c r="J513" t="s">
        <v>13</v>
      </c>
    </row>
    <row r="514" spans="1:10" x14ac:dyDescent="0.2">
      <c r="A514" t="s">
        <v>853</v>
      </c>
      <c r="B514">
        <v>3.5569999999999999</v>
      </c>
      <c r="C514">
        <f t="shared" si="14"/>
        <v>2.8524269291109027E-2</v>
      </c>
      <c r="D514">
        <f t="shared" si="15"/>
        <v>7.7801697224862314E-5</v>
      </c>
      <c r="E514" t="s">
        <v>10</v>
      </c>
      <c r="F514" t="s">
        <v>688</v>
      </c>
      <c r="G514" t="s">
        <v>1107</v>
      </c>
      <c r="H514" t="s">
        <v>1</v>
      </c>
      <c r="I514" t="s">
        <v>9</v>
      </c>
      <c r="J514" t="s">
        <v>13</v>
      </c>
    </row>
    <row r="515" spans="1:10" x14ac:dyDescent="0.2">
      <c r="A515" t="s">
        <v>867</v>
      </c>
      <c r="B515">
        <v>4.4089999999999998</v>
      </c>
      <c r="C515">
        <f t="shared" ref="C515:C578" si="16">EXP(-B515)</f>
        <v>1.216733958786039E-2</v>
      </c>
      <c r="D515">
        <f t="shared" ref="D515:D578" si="17">C515/366.627854</f>
        <v>3.3187166373508516E-5</v>
      </c>
      <c r="E515" t="s">
        <v>11</v>
      </c>
      <c r="F515" t="s">
        <v>688</v>
      </c>
      <c r="G515" t="s">
        <v>1107</v>
      </c>
      <c r="H515" t="s">
        <v>1</v>
      </c>
      <c r="I515" t="s">
        <v>9</v>
      </c>
      <c r="J515" t="s">
        <v>13</v>
      </c>
    </row>
    <row r="516" spans="1:10" x14ac:dyDescent="0.2">
      <c r="A516" t="s">
        <v>886</v>
      </c>
      <c r="B516">
        <v>3.5569999999999999</v>
      </c>
      <c r="C516">
        <f t="shared" si="16"/>
        <v>2.8524269291109027E-2</v>
      </c>
      <c r="D516">
        <f t="shared" si="17"/>
        <v>7.7801697224862314E-5</v>
      </c>
      <c r="E516" t="s">
        <v>12</v>
      </c>
      <c r="F516" t="s">
        <v>688</v>
      </c>
      <c r="G516" t="s">
        <v>1107</v>
      </c>
      <c r="H516" t="s">
        <v>1</v>
      </c>
      <c r="I516" t="s">
        <v>9</v>
      </c>
      <c r="J516" t="s">
        <v>13</v>
      </c>
    </row>
    <row r="517" spans="1:10" x14ac:dyDescent="0.2">
      <c r="A517" t="s">
        <v>898</v>
      </c>
      <c r="B517">
        <v>3.5569999999999999</v>
      </c>
      <c r="C517">
        <f t="shared" si="16"/>
        <v>2.8524269291109027E-2</v>
      </c>
      <c r="D517">
        <f t="shared" si="17"/>
        <v>7.7801697224862314E-5</v>
      </c>
      <c r="E517" t="s">
        <v>5</v>
      </c>
      <c r="F517" t="s">
        <v>688</v>
      </c>
      <c r="G517" t="s">
        <v>1107</v>
      </c>
      <c r="H517" t="s">
        <v>1</v>
      </c>
      <c r="I517" t="s">
        <v>9</v>
      </c>
      <c r="J517" t="s">
        <v>13</v>
      </c>
    </row>
    <row r="518" spans="1:10" x14ac:dyDescent="0.2">
      <c r="A518" t="s">
        <v>905</v>
      </c>
      <c r="B518">
        <v>3.5569999999999999</v>
      </c>
      <c r="C518">
        <f t="shared" si="16"/>
        <v>2.8524269291109027E-2</v>
      </c>
      <c r="D518">
        <f t="shared" si="17"/>
        <v>7.7801697224862314E-5</v>
      </c>
      <c r="E518" t="s">
        <v>22</v>
      </c>
      <c r="F518" t="s">
        <v>688</v>
      </c>
      <c r="G518" t="s">
        <v>1107</v>
      </c>
      <c r="H518" t="s">
        <v>1</v>
      </c>
      <c r="I518" t="s">
        <v>9</v>
      </c>
      <c r="J518" t="s">
        <v>13</v>
      </c>
    </row>
    <row r="519" spans="1:10" x14ac:dyDescent="0.2">
      <c r="A519" t="s">
        <v>922</v>
      </c>
      <c r="B519">
        <v>3.5569999999999999</v>
      </c>
      <c r="C519">
        <f t="shared" si="16"/>
        <v>2.8524269291109027E-2</v>
      </c>
      <c r="D519">
        <f t="shared" si="17"/>
        <v>7.7801697224862314E-5</v>
      </c>
      <c r="E519" t="s">
        <v>13</v>
      </c>
      <c r="F519" t="s">
        <v>688</v>
      </c>
      <c r="G519" t="s">
        <v>1107</v>
      </c>
      <c r="H519" t="s">
        <v>1</v>
      </c>
      <c r="I519" t="s">
        <v>9</v>
      </c>
      <c r="J519" t="s">
        <v>13</v>
      </c>
    </row>
    <row r="520" spans="1:10" x14ac:dyDescent="0.2">
      <c r="A520" t="s">
        <v>939</v>
      </c>
      <c r="B520">
        <v>3.5569999999999999</v>
      </c>
      <c r="C520">
        <f t="shared" si="16"/>
        <v>2.8524269291109027E-2</v>
      </c>
      <c r="D520">
        <f t="shared" si="17"/>
        <v>7.7801697224862314E-5</v>
      </c>
      <c r="E520" t="s">
        <v>2</v>
      </c>
      <c r="F520" t="s">
        <v>688</v>
      </c>
      <c r="G520" t="s">
        <v>1107</v>
      </c>
      <c r="H520" t="s">
        <v>1</v>
      </c>
      <c r="I520" t="s">
        <v>9</v>
      </c>
      <c r="J520" t="s">
        <v>13</v>
      </c>
    </row>
    <row r="521" spans="1:10" x14ac:dyDescent="0.2">
      <c r="A521" t="s">
        <v>948</v>
      </c>
      <c r="B521">
        <v>3.5569999999999999</v>
      </c>
      <c r="C521">
        <f t="shared" si="16"/>
        <v>2.8524269291109027E-2</v>
      </c>
      <c r="D521">
        <f t="shared" si="17"/>
        <v>7.7801697224862314E-5</v>
      </c>
      <c r="E521" t="s">
        <v>14</v>
      </c>
      <c r="F521" t="s">
        <v>688</v>
      </c>
      <c r="G521" t="s">
        <v>1107</v>
      </c>
      <c r="H521" t="s">
        <v>1</v>
      </c>
      <c r="I521" t="s">
        <v>9</v>
      </c>
      <c r="J521" t="s">
        <v>13</v>
      </c>
    </row>
    <row r="522" spans="1:10" x14ac:dyDescent="0.2">
      <c r="A522" t="s">
        <v>959</v>
      </c>
      <c r="B522">
        <v>3.5569999999999999</v>
      </c>
      <c r="C522">
        <f t="shared" si="16"/>
        <v>2.8524269291109027E-2</v>
      </c>
      <c r="D522">
        <f t="shared" si="17"/>
        <v>7.7801697224862314E-5</v>
      </c>
      <c r="E522" t="s">
        <v>1</v>
      </c>
      <c r="F522" t="s">
        <v>688</v>
      </c>
      <c r="G522" t="s">
        <v>1107</v>
      </c>
      <c r="H522" t="s">
        <v>1</v>
      </c>
      <c r="I522" t="s">
        <v>9</v>
      </c>
      <c r="J522" t="s">
        <v>13</v>
      </c>
    </row>
    <row r="523" spans="1:10" x14ac:dyDescent="0.2">
      <c r="A523" t="s">
        <v>975</v>
      </c>
      <c r="B523">
        <v>3.9340000000000002</v>
      </c>
      <c r="C523">
        <f t="shared" si="16"/>
        <v>1.9565254802910312E-2</v>
      </c>
      <c r="D523">
        <f t="shared" si="17"/>
        <v>5.3365434702924429E-5</v>
      </c>
      <c r="E523" t="s">
        <v>15</v>
      </c>
      <c r="F523" t="s">
        <v>688</v>
      </c>
      <c r="G523" t="s">
        <v>1107</v>
      </c>
      <c r="H523" t="s">
        <v>1</v>
      </c>
      <c r="I523" t="s">
        <v>9</v>
      </c>
      <c r="J523" t="s">
        <v>13</v>
      </c>
    </row>
    <row r="524" spans="1:10" x14ac:dyDescent="0.2">
      <c r="A524" t="s">
        <v>990</v>
      </c>
      <c r="B524">
        <v>3.5569999999999999</v>
      </c>
      <c r="C524">
        <f t="shared" si="16"/>
        <v>2.8524269291109027E-2</v>
      </c>
      <c r="D524">
        <f t="shared" si="17"/>
        <v>7.7801697224862314E-5</v>
      </c>
      <c r="E524" t="s">
        <v>16</v>
      </c>
      <c r="F524" t="s">
        <v>688</v>
      </c>
      <c r="G524" t="s">
        <v>1107</v>
      </c>
      <c r="H524" t="s">
        <v>1</v>
      </c>
      <c r="I524" t="s">
        <v>9</v>
      </c>
      <c r="J524" t="s">
        <v>13</v>
      </c>
    </row>
    <row r="525" spans="1:10" x14ac:dyDescent="0.2">
      <c r="A525" t="s">
        <v>1011</v>
      </c>
      <c r="B525">
        <v>4.8369999999999997</v>
      </c>
      <c r="C525">
        <f t="shared" si="16"/>
        <v>7.9308108310999006E-3</v>
      </c>
      <c r="D525">
        <f t="shared" si="17"/>
        <v>2.1631773867077489E-5</v>
      </c>
      <c r="E525" t="s">
        <v>25</v>
      </c>
      <c r="F525" t="s">
        <v>688</v>
      </c>
      <c r="G525" t="s">
        <v>1107</v>
      </c>
      <c r="H525" t="s">
        <v>1</v>
      </c>
      <c r="I525" t="s">
        <v>9</v>
      </c>
      <c r="J525" t="s">
        <v>13</v>
      </c>
    </row>
    <row r="526" spans="1:10" x14ac:dyDescent="0.2">
      <c r="A526" t="s">
        <v>1034</v>
      </c>
      <c r="B526">
        <v>4.008</v>
      </c>
      <c r="C526">
        <f t="shared" si="16"/>
        <v>1.8169698318255101E-2</v>
      </c>
      <c r="D526">
        <f t="shared" si="17"/>
        <v>4.9558968638141446E-5</v>
      </c>
      <c r="E526" t="s">
        <v>17</v>
      </c>
      <c r="F526" t="s">
        <v>688</v>
      </c>
      <c r="G526" t="s">
        <v>1107</v>
      </c>
      <c r="H526" t="s">
        <v>1</v>
      </c>
      <c r="I526" t="s">
        <v>9</v>
      </c>
      <c r="J526" t="s">
        <v>13</v>
      </c>
    </row>
    <row r="527" spans="1:10" x14ac:dyDescent="0.2">
      <c r="A527" t="s">
        <v>1048</v>
      </c>
      <c r="B527">
        <v>3.5569999999999999</v>
      </c>
      <c r="C527">
        <f t="shared" si="16"/>
        <v>2.8524269291109027E-2</v>
      </c>
      <c r="D527">
        <f t="shared" si="17"/>
        <v>7.7801697224862314E-5</v>
      </c>
      <c r="E527" t="s">
        <v>18</v>
      </c>
      <c r="F527" t="s">
        <v>688</v>
      </c>
      <c r="G527" t="s">
        <v>1107</v>
      </c>
      <c r="H527" t="s">
        <v>1</v>
      </c>
      <c r="I527" t="s">
        <v>9</v>
      </c>
      <c r="J527" t="s">
        <v>13</v>
      </c>
    </row>
    <row r="528" spans="1:10" x14ac:dyDescent="0.2">
      <c r="A528" t="s">
        <v>1068</v>
      </c>
      <c r="B528">
        <v>6.5460000000000003</v>
      </c>
      <c r="C528">
        <f t="shared" si="16"/>
        <v>1.4358475168957249E-3</v>
      </c>
      <c r="D528">
        <f t="shared" si="17"/>
        <v>3.9163623309856997E-6</v>
      </c>
      <c r="E528" t="s">
        <v>19</v>
      </c>
      <c r="F528" t="s">
        <v>688</v>
      </c>
      <c r="G528" t="s">
        <v>1107</v>
      </c>
      <c r="H528" t="s">
        <v>1</v>
      </c>
      <c r="I528" t="s">
        <v>9</v>
      </c>
      <c r="J528" t="s">
        <v>13</v>
      </c>
    </row>
    <row r="529" spans="1:10" x14ac:dyDescent="0.2">
      <c r="A529" t="s">
        <v>1094</v>
      </c>
      <c r="B529">
        <v>4.2089999999999996</v>
      </c>
      <c r="C529">
        <f t="shared" si="16"/>
        <v>1.4861222132084106E-2</v>
      </c>
      <c r="D529">
        <f t="shared" si="17"/>
        <v>4.0534896544123746E-5</v>
      </c>
      <c r="E529" t="s">
        <v>20</v>
      </c>
      <c r="F529" t="s">
        <v>688</v>
      </c>
      <c r="G529" t="s">
        <v>1107</v>
      </c>
      <c r="H529" t="s">
        <v>1</v>
      </c>
      <c r="I529" t="s">
        <v>9</v>
      </c>
      <c r="J529" t="s">
        <v>13</v>
      </c>
    </row>
    <row r="530" spans="1:10" x14ac:dyDescent="0.2">
      <c r="A530" t="s">
        <v>39</v>
      </c>
      <c r="B530">
        <v>0.377</v>
      </c>
      <c r="C530">
        <f t="shared" si="16"/>
        <v>0.68591607389602016</v>
      </c>
      <c r="D530">
        <f t="shared" si="17"/>
        <v>1.8708782390986041E-3</v>
      </c>
      <c r="E530" t="s">
        <v>0</v>
      </c>
      <c r="F530" t="s">
        <v>688</v>
      </c>
      <c r="G530" t="s">
        <v>8</v>
      </c>
      <c r="H530" t="s">
        <v>1</v>
      </c>
      <c r="I530" t="s">
        <v>16</v>
      </c>
      <c r="J530" t="s">
        <v>19</v>
      </c>
    </row>
    <row r="531" spans="1:10" x14ac:dyDescent="0.2">
      <c r="A531" t="s">
        <v>68</v>
      </c>
      <c r="B531">
        <v>0.377</v>
      </c>
      <c r="C531">
        <f t="shared" si="16"/>
        <v>0.68591607389602016</v>
      </c>
      <c r="D531">
        <f t="shared" si="17"/>
        <v>1.8708782390986041E-3</v>
      </c>
      <c r="E531" t="s">
        <v>9</v>
      </c>
      <c r="F531" t="s">
        <v>688</v>
      </c>
      <c r="G531" t="s">
        <v>8</v>
      </c>
      <c r="H531" t="s">
        <v>1</v>
      </c>
      <c r="I531" t="s">
        <v>16</v>
      </c>
      <c r="J531" t="s">
        <v>19</v>
      </c>
    </row>
    <row r="532" spans="1:10" x14ac:dyDescent="0.2">
      <c r="A532" t="s">
        <v>88</v>
      </c>
      <c r="B532">
        <v>0.64</v>
      </c>
      <c r="C532">
        <f t="shared" si="16"/>
        <v>0.52729242404304855</v>
      </c>
      <c r="D532">
        <f t="shared" si="17"/>
        <v>1.4382224871628236E-3</v>
      </c>
      <c r="E532" t="s">
        <v>24</v>
      </c>
      <c r="F532" t="s">
        <v>688</v>
      </c>
      <c r="G532" t="s">
        <v>8</v>
      </c>
      <c r="H532" t="s">
        <v>1</v>
      </c>
      <c r="I532" t="s">
        <v>16</v>
      </c>
      <c r="J532" t="s">
        <v>19</v>
      </c>
    </row>
    <row r="533" spans="1:10" x14ac:dyDescent="0.2">
      <c r="A533" t="s">
        <v>113</v>
      </c>
      <c r="B533">
        <v>0.377</v>
      </c>
      <c r="C533">
        <f t="shared" si="16"/>
        <v>0.68591607389602016</v>
      </c>
      <c r="D533">
        <f t="shared" si="17"/>
        <v>1.8708782390986041E-3</v>
      </c>
      <c r="E533" t="s">
        <v>10</v>
      </c>
      <c r="F533" t="s">
        <v>688</v>
      </c>
      <c r="G533" t="s">
        <v>8</v>
      </c>
      <c r="H533" t="s">
        <v>1</v>
      </c>
      <c r="I533" t="s">
        <v>16</v>
      </c>
      <c r="J533" t="s">
        <v>19</v>
      </c>
    </row>
    <row r="534" spans="1:10" x14ac:dyDescent="0.2">
      <c r="A534" t="s">
        <v>143</v>
      </c>
      <c r="B534">
        <v>0.377</v>
      </c>
      <c r="C534">
        <f t="shared" si="16"/>
        <v>0.68591607389602016</v>
      </c>
      <c r="D534">
        <f t="shared" si="17"/>
        <v>1.8708782390986041E-3</v>
      </c>
      <c r="E534" t="s">
        <v>12</v>
      </c>
      <c r="F534" t="s">
        <v>688</v>
      </c>
      <c r="G534" t="s">
        <v>8</v>
      </c>
      <c r="H534" t="s">
        <v>1</v>
      </c>
      <c r="I534" t="s">
        <v>16</v>
      </c>
      <c r="J534" t="s">
        <v>19</v>
      </c>
    </row>
    <row r="535" spans="1:10" x14ac:dyDescent="0.2">
      <c r="A535" t="s">
        <v>161</v>
      </c>
      <c r="B535">
        <v>0.377</v>
      </c>
      <c r="C535">
        <f t="shared" si="16"/>
        <v>0.68591607389602016</v>
      </c>
      <c r="D535">
        <f t="shared" si="17"/>
        <v>1.8708782390986041E-3</v>
      </c>
      <c r="E535" t="s">
        <v>5</v>
      </c>
      <c r="F535" t="s">
        <v>688</v>
      </c>
      <c r="G535" t="s">
        <v>8</v>
      </c>
      <c r="H535" t="s">
        <v>1</v>
      </c>
      <c r="I535" t="s">
        <v>16</v>
      </c>
      <c r="J535" t="s">
        <v>19</v>
      </c>
    </row>
    <row r="536" spans="1:10" x14ac:dyDescent="0.2">
      <c r="A536" t="s">
        <v>186</v>
      </c>
      <c r="B536">
        <v>0.377</v>
      </c>
      <c r="C536">
        <f t="shared" si="16"/>
        <v>0.68591607389602016</v>
      </c>
      <c r="D536">
        <f t="shared" si="17"/>
        <v>1.8708782390986041E-3</v>
      </c>
      <c r="E536" t="s">
        <v>22</v>
      </c>
      <c r="F536" t="s">
        <v>688</v>
      </c>
      <c r="G536" t="s">
        <v>8</v>
      </c>
      <c r="H536" t="s">
        <v>1</v>
      </c>
      <c r="I536" t="s">
        <v>16</v>
      </c>
      <c r="J536" t="s">
        <v>19</v>
      </c>
    </row>
    <row r="537" spans="1:10" x14ac:dyDescent="0.2">
      <c r="A537" t="s">
        <v>205</v>
      </c>
      <c r="B537">
        <v>0.377</v>
      </c>
      <c r="C537">
        <f t="shared" si="16"/>
        <v>0.68591607389602016</v>
      </c>
      <c r="D537">
        <f t="shared" si="17"/>
        <v>1.8708782390986041E-3</v>
      </c>
      <c r="E537" t="s">
        <v>13</v>
      </c>
      <c r="F537" t="s">
        <v>688</v>
      </c>
      <c r="G537" t="s">
        <v>8</v>
      </c>
      <c r="H537" t="s">
        <v>1</v>
      </c>
      <c r="I537" t="s">
        <v>16</v>
      </c>
      <c r="J537" t="s">
        <v>19</v>
      </c>
    </row>
    <row r="538" spans="1:10" x14ac:dyDescent="0.2">
      <c r="A538" t="s">
        <v>219</v>
      </c>
      <c r="B538">
        <v>0.377</v>
      </c>
      <c r="C538">
        <f t="shared" si="16"/>
        <v>0.68591607389602016</v>
      </c>
      <c r="D538">
        <f t="shared" si="17"/>
        <v>1.8708782390986041E-3</v>
      </c>
      <c r="E538" t="s">
        <v>2</v>
      </c>
      <c r="F538" t="s">
        <v>688</v>
      </c>
      <c r="G538" t="s">
        <v>8</v>
      </c>
      <c r="H538" t="s">
        <v>1</v>
      </c>
      <c r="I538" t="s">
        <v>16</v>
      </c>
      <c r="J538" t="s">
        <v>19</v>
      </c>
    </row>
    <row r="539" spans="1:10" x14ac:dyDescent="0.2">
      <c r="A539" t="s">
        <v>237</v>
      </c>
      <c r="B539">
        <v>0.377</v>
      </c>
      <c r="C539">
        <f t="shared" si="16"/>
        <v>0.68591607389602016</v>
      </c>
      <c r="D539">
        <f t="shared" si="17"/>
        <v>1.8708782390986041E-3</v>
      </c>
      <c r="E539" t="s">
        <v>14</v>
      </c>
      <c r="F539" t="s">
        <v>688</v>
      </c>
      <c r="G539" t="s">
        <v>8</v>
      </c>
      <c r="H539" t="s">
        <v>1</v>
      </c>
      <c r="I539" t="s">
        <v>16</v>
      </c>
      <c r="J539" t="s">
        <v>19</v>
      </c>
    </row>
    <row r="540" spans="1:10" x14ac:dyDescent="0.2">
      <c r="A540" t="s">
        <v>330</v>
      </c>
      <c r="B540">
        <v>0.377</v>
      </c>
      <c r="C540">
        <f t="shared" si="16"/>
        <v>0.68591607389602016</v>
      </c>
      <c r="D540">
        <f t="shared" si="17"/>
        <v>1.8708782390986041E-3</v>
      </c>
      <c r="E540" t="s">
        <v>18</v>
      </c>
      <c r="F540" t="s">
        <v>688</v>
      </c>
      <c r="G540" t="s">
        <v>8</v>
      </c>
      <c r="H540" t="s">
        <v>1</v>
      </c>
      <c r="I540" t="s">
        <v>16</v>
      </c>
      <c r="J540" t="s">
        <v>19</v>
      </c>
    </row>
    <row r="541" spans="1:10" x14ac:dyDescent="0.2">
      <c r="A541" t="s">
        <v>353</v>
      </c>
      <c r="B541">
        <v>1.03</v>
      </c>
      <c r="C541">
        <f t="shared" si="16"/>
        <v>0.35700696056914738</v>
      </c>
      <c r="D541">
        <f t="shared" si="17"/>
        <v>9.7375842199143813E-4</v>
      </c>
      <c r="E541" t="s">
        <v>20</v>
      </c>
      <c r="F541" t="s">
        <v>688</v>
      </c>
      <c r="G541" t="s">
        <v>8</v>
      </c>
      <c r="H541" t="s">
        <v>1</v>
      </c>
      <c r="I541" t="s">
        <v>16</v>
      </c>
      <c r="J541" t="s">
        <v>19</v>
      </c>
    </row>
    <row r="542" spans="1:10" x14ac:dyDescent="0.2">
      <c r="A542" t="s">
        <v>41</v>
      </c>
      <c r="B542">
        <v>0.26300000000000001</v>
      </c>
      <c r="C542">
        <f t="shared" si="16"/>
        <v>0.76874189731116027</v>
      </c>
      <c r="D542">
        <f t="shared" si="17"/>
        <v>2.0967907618692828E-3</v>
      </c>
      <c r="E542" t="s">
        <v>0</v>
      </c>
      <c r="F542" t="s">
        <v>688</v>
      </c>
      <c r="G542" t="s">
        <v>24</v>
      </c>
      <c r="H542" t="s">
        <v>1</v>
      </c>
      <c r="I542" t="s">
        <v>16</v>
      </c>
      <c r="J542" t="s">
        <v>19</v>
      </c>
    </row>
    <row r="543" spans="1:10" x14ac:dyDescent="0.2">
      <c r="A543" t="s">
        <v>70</v>
      </c>
      <c r="B543">
        <v>0.26300000000000001</v>
      </c>
      <c r="C543">
        <f t="shared" si="16"/>
        <v>0.76874189731116027</v>
      </c>
      <c r="D543">
        <f t="shared" si="17"/>
        <v>2.0967907618692828E-3</v>
      </c>
      <c r="E543" t="s">
        <v>9</v>
      </c>
      <c r="F543" t="s">
        <v>688</v>
      </c>
      <c r="G543" t="s">
        <v>24</v>
      </c>
      <c r="H543" t="s">
        <v>1</v>
      </c>
      <c r="I543" t="s">
        <v>16</v>
      </c>
      <c r="J543" t="s">
        <v>19</v>
      </c>
    </row>
    <row r="544" spans="1:10" x14ac:dyDescent="0.2">
      <c r="A544" t="s">
        <v>105</v>
      </c>
      <c r="B544">
        <v>0.95399999999999996</v>
      </c>
      <c r="C544">
        <f t="shared" si="16"/>
        <v>0.38519714916775522</v>
      </c>
      <c r="D544">
        <f t="shared" si="17"/>
        <v>1.0506488935992169E-3</v>
      </c>
      <c r="E544" t="s">
        <v>23</v>
      </c>
      <c r="F544" t="s">
        <v>688</v>
      </c>
      <c r="G544" t="s">
        <v>24</v>
      </c>
      <c r="H544" t="s">
        <v>1</v>
      </c>
      <c r="I544" t="s">
        <v>16</v>
      </c>
      <c r="J544" t="s">
        <v>19</v>
      </c>
    </row>
    <row r="545" spans="1:10" x14ac:dyDescent="0.2">
      <c r="A545" t="s">
        <v>133</v>
      </c>
      <c r="B545">
        <v>1.1160000000000001</v>
      </c>
      <c r="C545">
        <f t="shared" si="16"/>
        <v>0.32758752752368953</v>
      </c>
      <c r="D545">
        <f t="shared" si="17"/>
        <v>8.9351511062138098E-4</v>
      </c>
      <c r="E545" t="s">
        <v>11</v>
      </c>
      <c r="F545" t="s">
        <v>688</v>
      </c>
      <c r="G545" t="s">
        <v>24</v>
      </c>
      <c r="H545" t="s">
        <v>1</v>
      </c>
      <c r="I545" t="s">
        <v>16</v>
      </c>
      <c r="J545" t="s">
        <v>19</v>
      </c>
    </row>
    <row r="546" spans="1:10" x14ac:dyDescent="0.2">
      <c r="A546" t="s">
        <v>145</v>
      </c>
      <c r="B546">
        <v>0.26300000000000001</v>
      </c>
      <c r="C546">
        <f t="shared" si="16"/>
        <v>0.76874189731116027</v>
      </c>
      <c r="D546">
        <f t="shared" si="17"/>
        <v>2.0967907618692828E-3</v>
      </c>
      <c r="E546" t="s">
        <v>12</v>
      </c>
      <c r="F546" t="s">
        <v>688</v>
      </c>
      <c r="G546" t="s">
        <v>24</v>
      </c>
      <c r="H546" t="s">
        <v>1</v>
      </c>
      <c r="I546" t="s">
        <v>16</v>
      </c>
      <c r="J546" t="s">
        <v>19</v>
      </c>
    </row>
    <row r="547" spans="1:10" x14ac:dyDescent="0.2">
      <c r="A547" t="s">
        <v>163</v>
      </c>
      <c r="B547">
        <v>0.26300000000000001</v>
      </c>
      <c r="C547">
        <f t="shared" si="16"/>
        <v>0.76874189731116027</v>
      </c>
      <c r="D547">
        <f t="shared" si="17"/>
        <v>2.0967907618692828E-3</v>
      </c>
      <c r="E547" t="s">
        <v>5</v>
      </c>
      <c r="F547" t="s">
        <v>688</v>
      </c>
      <c r="G547" t="s">
        <v>24</v>
      </c>
      <c r="H547" t="s">
        <v>1</v>
      </c>
      <c r="I547" t="s">
        <v>16</v>
      </c>
      <c r="J547" t="s">
        <v>19</v>
      </c>
    </row>
    <row r="548" spans="1:10" x14ac:dyDescent="0.2">
      <c r="A548" t="s">
        <v>239</v>
      </c>
      <c r="B548">
        <v>0.26300000000000001</v>
      </c>
      <c r="C548">
        <f t="shared" si="16"/>
        <v>0.76874189731116027</v>
      </c>
      <c r="D548">
        <f t="shared" si="17"/>
        <v>2.0967907618692828E-3</v>
      </c>
      <c r="E548" t="s">
        <v>14</v>
      </c>
      <c r="F548" t="s">
        <v>688</v>
      </c>
      <c r="G548" t="s">
        <v>24</v>
      </c>
      <c r="H548" t="s">
        <v>1</v>
      </c>
      <c r="I548" t="s">
        <v>16</v>
      </c>
      <c r="J548" t="s">
        <v>19</v>
      </c>
    </row>
    <row r="549" spans="1:10" x14ac:dyDescent="0.2">
      <c r="A549" t="s">
        <v>282</v>
      </c>
      <c r="B549">
        <v>0.64</v>
      </c>
      <c r="C549">
        <f t="shared" si="16"/>
        <v>0.52729242404304855</v>
      </c>
      <c r="D549">
        <f t="shared" si="17"/>
        <v>1.4382224871628236E-3</v>
      </c>
      <c r="E549" t="s">
        <v>15</v>
      </c>
      <c r="F549" t="s">
        <v>688</v>
      </c>
      <c r="G549" t="s">
        <v>24</v>
      </c>
      <c r="H549" t="s">
        <v>1</v>
      </c>
      <c r="I549" t="s">
        <v>16</v>
      </c>
      <c r="J549" t="s">
        <v>19</v>
      </c>
    </row>
    <row r="550" spans="1:10" x14ac:dyDescent="0.2">
      <c r="A550" t="s">
        <v>296</v>
      </c>
      <c r="B550">
        <v>0.26300000000000001</v>
      </c>
      <c r="C550">
        <f t="shared" si="16"/>
        <v>0.76874189731116027</v>
      </c>
      <c r="D550">
        <f t="shared" si="17"/>
        <v>2.0967907618692828E-3</v>
      </c>
      <c r="E550" t="s">
        <v>16</v>
      </c>
      <c r="F550" t="s">
        <v>688</v>
      </c>
      <c r="G550" t="s">
        <v>24</v>
      </c>
      <c r="H550" t="s">
        <v>1</v>
      </c>
      <c r="I550" t="s">
        <v>16</v>
      </c>
      <c r="J550" t="s">
        <v>19</v>
      </c>
    </row>
    <row r="551" spans="1:10" x14ac:dyDescent="0.2">
      <c r="A551" t="s">
        <v>332</v>
      </c>
      <c r="B551">
        <v>0.26300000000000001</v>
      </c>
      <c r="C551">
        <f t="shared" si="16"/>
        <v>0.76874189731116027</v>
      </c>
      <c r="D551">
        <f t="shared" si="17"/>
        <v>2.0967907618692828E-3</v>
      </c>
      <c r="E551" t="s">
        <v>18</v>
      </c>
      <c r="F551" t="s">
        <v>688</v>
      </c>
      <c r="G551" t="s">
        <v>24</v>
      </c>
      <c r="H551" t="s">
        <v>1</v>
      </c>
      <c r="I551" t="s">
        <v>16</v>
      </c>
      <c r="J551" t="s">
        <v>19</v>
      </c>
    </row>
    <row r="552" spans="1:10" x14ac:dyDescent="0.2">
      <c r="A552" t="s">
        <v>354</v>
      </c>
      <c r="B552">
        <v>0.91600000000000004</v>
      </c>
      <c r="C552">
        <f t="shared" si="16"/>
        <v>0.40011630965630496</v>
      </c>
      <c r="D552">
        <f t="shared" si="17"/>
        <v>1.091341820570744E-3</v>
      </c>
      <c r="E552" t="s">
        <v>20</v>
      </c>
      <c r="F552" t="s">
        <v>688</v>
      </c>
      <c r="G552" t="s">
        <v>24</v>
      </c>
      <c r="H552" t="s">
        <v>1</v>
      </c>
      <c r="I552" t="s">
        <v>16</v>
      </c>
      <c r="J552" t="s">
        <v>19</v>
      </c>
    </row>
    <row r="553" spans="1:10" x14ac:dyDescent="0.2">
      <c r="A553" t="s">
        <v>43</v>
      </c>
      <c r="B553">
        <v>0</v>
      </c>
      <c r="C553">
        <f t="shared" si="16"/>
        <v>1</v>
      </c>
      <c r="D553">
        <f t="shared" si="17"/>
        <v>2.7275614470907055E-3</v>
      </c>
      <c r="E553" t="s">
        <v>0</v>
      </c>
      <c r="F553" t="s">
        <v>688</v>
      </c>
      <c r="G553" t="s">
        <v>12</v>
      </c>
      <c r="H553" t="s">
        <v>1</v>
      </c>
      <c r="I553" t="s">
        <v>16</v>
      </c>
      <c r="J553" t="s">
        <v>19</v>
      </c>
    </row>
    <row r="554" spans="1:10" x14ac:dyDescent="0.2">
      <c r="A554" t="s">
        <v>57</v>
      </c>
      <c r="B554">
        <v>0.377</v>
      </c>
      <c r="C554">
        <f t="shared" si="16"/>
        <v>0.68591607389602016</v>
      </c>
      <c r="D554">
        <f t="shared" si="17"/>
        <v>1.8708782390986041E-3</v>
      </c>
      <c r="E554" t="s">
        <v>8</v>
      </c>
      <c r="F554" t="s">
        <v>688</v>
      </c>
      <c r="G554" t="s">
        <v>12</v>
      </c>
      <c r="H554" t="s">
        <v>1</v>
      </c>
      <c r="I554" t="s">
        <v>16</v>
      </c>
      <c r="J554" t="s">
        <v>19</v>
      </c>
    </row>
    <row r="555" spans="1:10" x14ac:dyDescent="0.2">
      <c r="A555" t="s">
        <v>72</v>
      </c>
      <c r="B555">
        <v>0</v>
      </c>
      <c r="C555">
        <f t="shared" si="16"/>
        <v>1</v>
      </c>
      <c r="D555">
        <f t="shared" si="17"/>
        <v>2.7275614470907055E-3</v>
      </c>
      <c r="E555" t="s">
        <v>9</v>
      </c>
      <c r="F555" t="s">
        <v>688</v>
      </c>
      <c r="G555" t="s">
        <v>12</v>
      </c>
      <c r="H555" t="s">
        <v>1</v>
      </c>
      <c r="I555" t="s">
        <v>16</v>
      </c>
      <c r="J555" t="s">
        <v>19</v>
      </c>
    </row>
    <row r="556" spans="1:10" x14ac:dyDescent="0.2">
      <c r="A556" t="s">
        <v>90</v>
      </c>
      <c r="B556">
        <v>0.26300000000000001</v>
      </c>
      <c r="C556">
        <f t="shared" si="16"/>
        <v>0.76874189731116027</v>
      </c>
      <c r="D556">
        <f t="shared" si="17"/>
        <v>2.0967907618692828E-3</v>
      </c>
      <c r="E556" t="s">
        <v>24</v>
      </c>
      <c r="F556" t="s">
        <v>688</v>
      </c>
      <c r="G556" t="s">
        <v>12</v>
      </c>
      <c r="H556" t="s">
        <v>1</v>
      </c>
      <c r="I556" t="s">
        <v>16</v>
      </c>
      <c r="J556" t="s">
        <v>19</v>
      </c>
    </row>
    <row r="557" spans="1:10" x14ac:dyDescent="0.2">
      <c r="A557" t="s">
        <v>115</v>
      </c>
      <c r="B557">
        <v>0</v>
      </c>
      <c r="C557">
        <f t="shared" si="16"/>
        <v>1</v>
      </c>
      <c r="D557">
        <f t="shared" si="17"/>
        <v>2.7275614470907055E-3</v>
      </c>
      <c r="E557" t="s">
        <v>10</v>
      </c>
      <c r="F557" t="s">
        <v>688</v>
      </c>
      <c r="G557" t="s">
        <v>12</v>
      </c>
      <c r="H557" t="s">
        <v>1</v>
      </c>
      <c r="I557" t="s">
        <v>16</v>
      </c>
      <c r="J557" t="s">
        <v>19</v>
      </c>
    </row>
    <row r="558" spans="1:10" x14ac:dyDescent="0.2">
      <c r="A558" t="s">
        <v>135</v>
      </c>
      <c r="B558">
        <v>0.85299999999999998</v>
      </c>
      <c r="C558">
        <f t="shared" si="16"/>
        <v>0.42613460859814872</v>
      </c>
      <c r="D558">
        <f t="shared" si="17"/>
        <v>1.1623083296833979E-3</v>
      </c>
      <c r="E558" t="s">
        <v>11</v>
      </c>
      <c r="F558" t="s">
        <v>688</v>
      </c>
      <c r="G558" t="s">
        <v>12</v>
      </c>
      <c r="H558" t="s">
        <v>1</v>
      </c>
      <c r="I558" t="s">
        <v>16</v>
      </c>
      <c r="J558" t="s">
        <v>19</v>
      </c>
    </row>
    <row r="559" spans="1:10" x14ac:dyDescent="0.2">
      <c r="A559" t="s">
        <v>146</v>
      </c>
      <c r="B559">
        <v>0</v>
      </c>
      <c r="C559">
        <f t="shared" si="16"/>
        <v>1</v>
      </c>
      <c r="D559">
        <f t="shared" si="17"/>
        <v>2.7275614470907055E-3</v>
      </c>
      <c r="E559" t="s">
        <v>12</v>
      </c>
      <c r="F559" t="s">
        <v>688</v>
      </c>
      <c r="G559" t="s">
        <v>12</v>
      </c>
      <c r="H559" t="s">
        <v>1</v>
      </c>
      <c r="I559" t="s">
        <v>16</v>
      </c>
      <c r="J559" t="s">
        <v>19</v>
      </c>
    </row>
    <row r="560" spans="1:10" x14ac:dyDescent="0.2">
      <c r="A560" t="s">
        <v>164</v>
      </c>
      <c r="B560">
        <v>0</v>
      </c>
      <c r="C560">
        <f t="shared" si="16"/>
        <v>1</v>
      </c>
      <c r="D560">
        <f t="shared" si="17"/>
        <v>2.7275614470907055E-3</v>
      </c>
      <c r="E560" t="s">
        <v>5</v>
      </c>
      <c r="F560" t="s">
        <v>688</v>
      </c>
      <c r="G560" t="s">
        <v>12</v>
      </c>
      <c r="H560" t="s">
        <v>1</v>
      </c>
      <c r="I560" t="s">
        <v>16</v>
      </c>
      <c r="J560" t="s">
        <v>19</v>
      </c>
    </row>
    <row r="561" spans="1:10" x14ac:dyDescent="0.2">
      <c r="A561" t="s">
        <v>190</v>
      </c>
      <c r="B561">
        <v>0</v>
      </c>
      <c r="C561">
        <f t="shared" si="16"/>
        <v>1</v>
      </c>
      <c r="D561">
        <f t="shared" si="17"/>
        <v>2.7275614470907055E-3</v>
      </c>
      <c r="E561" t="s">
        <v>22</v>
      </c>
      <c r="F561" t="s">
        <v>688</v>
      </c>
      <c r="G561" t="s">
        <v>12</v>
      </c>
      <c r="H561" t="s">
        <v>1</v>
      </c>
      <c r="I561" t="s">
        <v>16</v>
      </c>
      <c r="J561" t="s">
        <v>19</v>
      </c>
    </row>
    <row r="562" spans="1:10" x14ac:dyDescent="0.2">
      <c r="A562" t="s">
        <v>207</v>
      </c>
      <c r="B562">
        <v>0</v>
      </c>
      <c r="C562">
        <f t="shared" si="16"/>
        <v>1</v>
      </c>
      <c r="D562">
        <f t="shared" si="17"/>
        <v>2.7275614470907055E-3</v>
      </c>
      <c r="E562" t="s">
        <v>13</v>
      </c>
      <c r="F562" t="s">
        <v>688</v>
      </c>
      <c r="G562" t="s">
        <v>12</v>
      </c>
      <c r="H562" t="s">
        <v>1</v>
      </c>
      <c r="I562" t="s">
        <v>16</v>
      </c>
      <c r="J562" t="s">
        <v>19</v>
      </c>
    </row>
    <row r="563" spans="1:10" x14ac:dyDescent="0.2">
      <c r="A563" t="s">
        <v>221</v>
      </c>
      <c r="B563">
        <v>0</v>
      </c>
      <c r="C563">
        <f t="shared" si="16"/>
        <v>1</v>
      </c>
      <c r="D563">
        <f t="shared" si="17"/>
        <v>2.7275614470907055E-3</v>
      </c>
      <c r="E563" t="s">
        <v>2</v>
      </c>
      <c r="F563" t="s">
        <v>688</v>
      </c>
      <c r="G563" t="s">
        <v>12</v>
      </c>
      <c r="H563" t="s">
        <v>1</v>
      </c>
      <c r="I563" t="s">
        <v>16</v>
      </c>
      <c r="J563" t="s">
        <v>19</v>
      </c>
    </row>
    <row r="564" spans="1:10" x14ac:dyDescent="0.2">
      <c r="A564" t="s">
        <v>242</v>
      </c>
      <c r="B564">
        <v>0</v>
      </c>
      <c r="C564">
        <f t="shared" si="16"/>
        <v>1</v>
      </c>
      <c r="D564">
        <f t="shared" si="17"/>
        <v>2.7275614470907055E-3</v>
      </c>
      <c r="E564" t="s">
        <v>14</v>
      </c>
      <c r="F564" t="s">
        <v>688</v>
      </c>
      <c r="G564" t="s">
        <v>12</v>
      </c>
      <c r="H564" t="s">
        <v>1</v>
      </c>
      <c r="I564" t="s">
        <v>16</v>
      </c>
      <c r="J564" t="s">
        <v>19</v>
      </c>
    </row>
    <row r="565" spans="1:10" x14ac:dyDescent="0.2">
      <c r="A565" t="s">
        <v>264</v>
      </c>
      <c r="B565">
        <v>0</v>
      </c>
      <c r="C565">
        <f t="shared" si="16"/>
        <v>1</v>
      </c>
      <c r="D565">
        <f t="shared" si="17"/>
        <v>2.7275614470907055E-3</v>
      </c>
      <c r="E565" t="s">
        <v>1</v>
      </c>
      <c r="F565" t="s">
        <v>688</v>
      </c>
      <c r="G565" t="s">
        <v>12</v>
      </c>
      <c r="H565" t="s">
        <v>1</v>
      </c>
      <c r="I565" t="s">
        <v>16</v>
      </c>
      <c r="J565" t="s">
        <v>19</v>
      </c>
    </row>
    <row r="566" spans="1:10" x14ac:dyDescent="0.2">
      <c r="A566" t="s">
        <v>283</v>
      </c>
      <c r="B566">
        <v>0.377</v>
      </c>
      <c r="C566">
        <f t="shared" si="16"/>
        <v>0.68591607389602016</v>
      </c>
      <c r="D566">
        <f t="shared" si="17"/>
        <v>1.8708782390986041E-3</v>
      </c>
      <c r="E566" t="s">
        <v>15</v>
      </c>
      <c r="F566" t="s">
        <v>688</v>
      </c>
      <c r="G566" t="s">
        <v>12</v>
      </c>
      <c r="H566" t="s">
        <v>1</v>
      </c>
      <c r="I566" t="s">
        <v>16</v>
      </c>
      <c r="J566" t="s">
        <v>19</v>
      </c>
    </row>
    <row r="567" spans="1:10" x14ac:dyDescent="0.2">
      <c r="A567" t="s">
        <v>298</v>
      </c>
      <c r="B567">
        <v>0</v>
      </c>
      <c r="C567">
        <f t="shared" si="16"/>
        <v>1</v>
      </c>
      <c r="D567">
        <f t="shared" si="17"/>
        <v>2.7275614470907055E-3</v>
      </c>
      <c r="E567" t="s">
        <v>16</v>
      </c>
      <c r="F567" t="s">
        <v>688</v>
      </c>
      <c r="G567" t="s">
        <v>12</v>
      </c>
      <c r="H567" t="s">
        <v>1</v>
      </c>
      <c r="I567" t="s">
        <v>16</v>
      </c>
      <c r="J567" t="s">
        <v>19</v>
      </c>
    </row>
    <row r="568" spans="1:10" x14ac:dyDescent="0.2">
      <c r="A568" t="s">
        <v>313</v>
      </c>
      <c r="B568">
        <v>1.28</v>
      </c>
      <c r="C568">
        <f t="shared" si="16"/>
        <v>0.27803730045319414</v>
      </c>
      <c r="D568">
        <f t="shared" si="17"/>
        <v>7.5836382156930756E-4</v>
      </c>
      <c r="E568" t="s">
        <v>25</v>
      </c>
      <c r="F568" t="s">
        <v>688</v>
      </c>
      <c r="G568" t="s">
        <v>12</v>
      </c>
      <c r="H568" t="s">
        <v>1</v>
      </c>
      <c r="I568" t="s">
        <v>16</v>
      </c>
      <c r="J568" t="s">
        <v>19</v>
      </c>
    </row>
    <row r="569" spans="1:10" x14ac:dyDescent="0.2">
      <c r="A569" t="s">
        <v>318</v>
      </c>
      <c r="B569">
        <v>0.45200000000000001</v>
      </c>
      <c r="C569">
        <f t="shared" si="16"/>
        <v>0.63635416972508707</v>
      </c>
      <c r="D569">
        <f t="shared" si="17"/>
        <v>1.7356951000375631E-3</v>
      </c>
      <c r="E569" t="s">
        <v>17</v>
      </c>
      <c r="F569" t="s">
        <v>688</v>
      </c>
      <c r="G569" t="s">
        <v>12</v>
      </c>
      <c r="H569" t="s">
        <v>1</v>
      </c>
      <c r="I569" t="s">
        <v>16</v>
      </c>
      <c r="J569" t="s">
        <v>19</v>
      </c>
    </row>
    <row r="570" spans="1:10" x14ac:dyDescent="0.2">
      <c r="A570" t="s">
        <v>334</v>
      </c>
      <c r="B570">
        <v>0</v>
      </c>
      <c r="C570">
        <f t="shared" si="16"/>
        <v>1</v>
      </c>
      <c r="D570">
        <f t="shared" si="17"/>
        <v>2.7275614470907055E-3</v>
      </c>
      <c r="E570" t="s">
        <v>18</v>
      </c>
      <c r="F570" t="s">
        <v>688</v>
      </c>
      <c r="G570" t="s">
        <v>12</v>
      </c>
      <c r="H570" t="s">
        <v>1</v>
      </c>
      <c r="I570" t="s">
        <v>16</v>
      </c>
      <c r="J570" t="s">
        <v>19</v>
      </c>
    </row>
    <row r="571" spans="1:10" x14ac:dyDescent="0.2">
      <c r="A571" t="s">
        <v>356</v>
      </c>
      <c r="B571">
        <v>0.65300000000000002</v>
      </c>
      <c r="C571">
        <f t="shared" si="16"/>
        <v>0.52048198628928322</v>
      </c>
      <c r="D571">
        <f t="shared" si="17"/>
        <v>1.4196465997078421E-3</v>
      </c>
      <c r="E571" t="s">
        <v>20</v>
      </c>
      <c r="F571" t="s">
        <v>688</v>
      </c>
      <c r="G571" t="s">
        <v>12</v>
      </c>
      <c r="H571" t="s">
        <v>1</v>
      </c>
      <c r="I571" t="s">
        <v>16</v>
      </c>
      <c r="J571" t="s">
        <v>19</v>
      </c>
    </row>
    <row r="572" spans="1:10" x14ac:dyDescent="0.2">
      <c r="A572" t="s">
        <v>44</v>
      </c>
      <c r="B572">
        <v>0</v>
      </c>
      <c r="C572">
        <f t="shared" si="16"/>
        <v>1</v>
      </c>
      <c r="D572">
        <f t="shared" si="17"/>
        <v>2.7275614470907055E-3</v>
      </c>
      <c r="E572" t="s">
        <v>0</v>
      </c>
      <c r="F572" t="s">
        <v>688</v>
      </c>
      <c r="G572" t="s">
        <v>2</v>
      </c>
      <c r="H572" t="s">
        <v>1</v>
      </c>
      <c r="I572" t="s">
        <v>16</v>
      </c>
      <c r="J572" t="s">
        <v>19</v>
      </c>
    </row>
    <row r="573" spans="1:10" x14ac:dyDescent="0.2">
      <c r="A573" t="s">
        <v>58</v>
      </c>
      <c r="B573">
        <v>0.377</v>
      </c>
      <c r="C573">
        <f t="shared" si="16"/>
        <v>0.68591607389602016</v>
      </c>
      <c r="D573">
        <f t="shared" si="17"/>
        <v>1.8708782390986041E-3</v>
      </c>
      <c r="E573" t="s">
        <v>8</v>
      </c>
      <c r="F573" t="s">
        <v>688</v>
      </c>
      <c r="G573" t="s">
        <v>2</v>
      </c>
      <c r="H573" t="s">
        <v>1</v>
      </c>
      <c r="I573" t="s">
        <v>16</v>
      </c>
      <c r="J573" t="s">
        <v>19</v>
      </c>
    </row>
    <row r="574" spans="1:10" x14ac:dyDescent="0.2">
      <c r="A574" t="s">
        <v>73</v>
      </c>
      <c r="B574">
        <v>0</v>
      </c>
      <c r="C574">
        <f t="shared" si="16"/>
        <v>1</v>
      </c>
      <c r="D574">
        <f t="shared" si="17"/>
        <v>2.7275614470907055E-3</v>
      </c>
      <c r="E574" t="s">
        <v>9</v>
      </c>
      <c r="F574" t="s">
        <v>688</v>
      </c>
      <c r="G574" t="s">
        <v>2</v>
      </c>
      <c r="H574" t="s">
        <v>1</v>
      </c>
      <c r="I574" t="s">
        <v>16</v>
      </c>
      <c r="J574" t="s">
        <v>19</v>
      </c>
    </row>
    <row r="575" spans="1:10" x14ac:dyDescent="0.2">
      <c r="A575" t="s">
        <v>116</v>
      </c>
      <c r="B575">
        <v>0</v>
      </c>
      <c r="C575">
        <f t="shared" si="16"/>
        <v>1</v>
      </c>
      <c r="D575">
        <f t="shared" si="17"/>
        <v>2.7275614470907055E-3</v>
      </c>
      <c r="E575" t="s">
        <v>10</v>
      </c>
      <c r="F575" t="s">
        <v>688</v>
      </c>
      <c r="G575" t="s">
        <v>2</v>
      </c>
      <c r="H575" t="s">
        <v>1</v>
      </c>
      <c r="I575" t="s">
        <v>16</v>
      </c>
      <c r="J575" t="s">
        <v>19</v>
      </c>
    </row>
    <row r="576" spans="1:10" x14ac:dyDescent="0.2">
      <c r="A576" t="s">
        <v>136</v>
      </c>
      <c r="B576">
        <v>0.85299999999999998</v>
      </c>
      <c r="C576">
        <f t="shared" si="16"/>
        <v>0.42613460859814872</v>
      </c>
      <c r="D576">
        <f t="shared" si="17"/>
        <v>1.1623083296833979E-3</v>
      </c>
      <c r="E576" t="s">
        <v>11</v>
      </c>
      <c r="F576" t="s">
        <v>688</v>
      </c>
      <c r="G576" t="s">
        <v>2</v>
      </c>
      <c r="H576" t="s">
        <v>1</v>
      </c>
      <c r="I576" t="s">
        <v>16</v>
      </c>
      <c r="J576" t="s">
        <v>19</v>
      </c>
    </row>
    <row r="577" spans="1:10" x14ac:dyDescent="0.2">
      <c r="A577" t="s">
        <v>147</v>
      </c>
      <c r="B577">
        <v>0</v>
      </c>
      <c r="C577">
        <f t="shared" si="16"/>
        <v>1</v>
      </c>
      <c r="D577">
        <f t="shared" si="17"/>
        <v>2.7275614470907055E-3</v>
      </c>
      <c r="E577" t="s">
        <v>12</v>
      </c>
      <c r="F577" t="s">
        <v>688</v>
      </c>
      <c r="G577" t="s">
        <v>2</v>
      </c>
      <c r="H577" t="s">
        <v>1</v>
      </c>
      <c r="I577" t="s">
        <v>16</v>
      </c>
      <c r="J577" t="s">
        <v>19</v>
      </c>
    </row>
    <row r="578" spans="1:10" x14ac:dyDescent="0.2">
      <c r="A578" t="s">
        <v>165</v>
      </c>
      <c r="B578">
        <v>0</v>
      </c>
      <c r="C578">
        <f t="shared" si="16"/>
        <v>1</v>
      </c>
      <c r="D578">
        <f t="shared" si="17"/>
        <v>2.7275614470907055E-3</v>
      </c>
      <c r="E578" t="s">
        <v>5</v>
      </c>
      <c r="F578" t="s">
        <v>688</v>
      </c>
      <c r="G578" t="s">
        <v>2</v>
      </c>
      <c r="H578" t="s">
        <v>1</v>
      </c>
      <c r="I578" t="s">
        <v>16</v>
      </c>
      <c r="J578" t="s">
        <v>19</v>
      </c>
    </row>
    <row r="579" spans="1:10" x14ac:dyDescent="0.2">
      <c r="A579" t="s">
        <v>208</v>
      </c>
      <c r="B579">
        <v>0</v>
      </c>
      <c r="C579">
        <f t="shared" ref="C579:C642" si="18">EXP(-B579)</f>
        <v>1</v>
      </c>
      <c r="D579">
        <f t="shared" ref="D579:D642" si="19">C579/366.627854</f>
        <v>2.7275614470907055E-3</v>
      </c>
      <c r="E579" t="s">
        <v>13</v>
      </c>
      <c r="F579" t="s">
        <v>688</v>
      </c>
      <c r="G579" t="s">
        <v>2</v>
      </c>
      <c r="H579" t="s">
        <v>1</v>
      </c>
      <c r="I579" t="s">
        <v>16</v>
      </c>
      <c r="J579" t="s">
        <v>19</v>
      </c>
    </row>
    <row r="580" spans="1:10" x14ac:dyDescent="0.2">
      <c r="A580" t="s">
        <v>222</v>
      </c>
      <c r="B580">
        <v>0</v>
      </c>
      <c r="C580">
        <f t="shared" si="18"/>
        <v>1</v>
      </c>
      <c r="D580">
        <f t="shared" si="19"/>
        <v>2.7275614470907055E-3</v>
      </c>
      <c r="E580" t="s">
        <v>2</v>
      </c>
      <c r="F580" t="s">
        <v>688</v>
      </c>
      <c r="G580" t="s">
        <v>2</v>
      </c>
      <c r="H580" t="s">
        <v>1</v>
      </c>
      <c r="I580" t="s">
        <v>16</v>
      </c>
      <c r="J580" t="s">
        <v>19</v>
      </c>
    </row>
    <row r="581" spans="1:10" x14ac:dyDescent="0.2">
      <c r="A581" t="s">
        <v>243</v>
      </c>
      <c r="B581">
        <v>0</v>
      </c>
      <c r="C581">
        <f t="shared" si="18"/>
        <v>1</v>
      </c>
      <c r="D581">
        <f t="shared" si="19"/>
        <v>2.7275614470907055E-3</v>
      </c>
      <c r="E581" t="s">
        <v>14</v>
      </c>
      <c r="F581" t="s">
        <v>688</v>
      </c>
      <c r="G581" t="s">
        <v>2</v>
      </c>
      <c r="H581" t="s">
        <v>1</v>
      </c>
      <c r="I581" t="s">
        <v>16</v>
      </c>
      <c r="J581" t="s">
        <v>19</v>
      </c>
    </row>
    <row r="582" spans="1:10" x14ac:dyDescent="0.2">
      <c r="A582" t="s">
        <v>265</v>
      </c>
      <c r="B582">
        <v>0</v>
      </c>
      <c r="C582">
        <f t="shared" si="18"/>
        <v>1</v>
      </c>
      <c r="D582">
        <f t="shared" si="19"/>
        <v>2.7275614470907055E-3</v>
      </c>
      <c r="E582" t="s">
        <v>1</v>
      </c>
      <c r="F582" t="s">
        <v>688</v>
      </c>
      <c r="G582" t="s">
        <v>2</v>
      </c>
      <c r="H582" t="s">
        <v>1</v>
      </c>
      <c r="I582" t="s">
        <v>16</v>
      </c>
      <c r="J582" t="s">
        <v>19</v>
      </c>
    </row>
    <row r="583" spans="1:10" x14ac:dyDescent="0.2">
      <c r="A583" t="s">
        <v>284</v>
      </c>
      <c r="B583">
        <v>0.377</v>
      </c>
      <c r="C583">
        <f t="shared" si="18"/>
        <v>0.68591607389602016</v>
      </c>
      <c r="D583">
        <f t="shared" si="19"/>
        <v>1.8708782390986041E-3</v>
      </c>
      <c r="E583" t="s">
        <v>15</v>
      </c>
      <c r="F583" t="s">
        <v>688</v>
      </c>
      <c r="G583" t="s">
        <v>2</v>
      </c>
      <c r="H583" t="s">
        <v>1</v>
      </c>
      <c r="I583" t="s">
        <v>16</v>
      </c>
      <c r="J583" t="s">
        <v>19</v>
      </c>
    </row>
    <row r="584" spans="1:10" x14ac:dyDescent="0.2">
      <c r="A584" t="s">
        <v>299</v>
      </c>
      <c r="B584">
        <v>0</v>
      </c>
      <c r="C584">
        <f t="shared" si="18"/>
        <v>1</v>
      </c>
      <c r="D584">
        <f t="shared" si="19"/>
        <v>2.7275614470907055E-3</v>
      </c>
      <c r="E584" t="s">
        <v>16</v>
      </c>
      <c r="F584" t="s">
        <v>688</v>
      </c>
      <c r="G584" t="s">
        <v>2</v>
      </c>
      <c r="H584" t="s">
        <v>1</v>
      </c>
      <c r="I584" t="s">
        <v>16</v>
      </c>
      <c r="J584" t="s">
        <v>19</v>
      </c>
    </row>
    <row r="585" spans="1:10" x14ac:dyDescent="0.2">
      <c r="A585" t="s">
        <v>335</v>
      </c>
      <c r="B585">
        <v>0</v>
      </c>
      <c r="C585">
        <f t="shared" si="18"/>
        <v>1</v>
      </c>
      <c r="D585">
        <f t="shared" si="19"/>
        <v>2.7275614470907055E-3</v>
      </c>
      <c r="E585" t="s">
        <v>18</v>
      </c>
      <c r="F585" t="s">
        <v>688</v>
      </c>
      <c r="G585" t="s">
        <v>2</v>
      </c>
      <c r="H585" t="s">
        <v>1</v>
      </c>
      <c r="I585" t="s">
        <v>16</v>
      </c>
      <c r="J585" t="s">
        <v>19</v>
      </c>
    </row>
    <row r="586" spans="1:10" x14ac:dyDescent="0.2">
      <c r="A586" t="s">
        <v>352</v>
      </c>
      <c r="B586">
        <v>2.99</v>
      </c>
      <c r="C586">
        <f t="shared" si="18"/>
        <v>5.0287436723591865E-2</v>
      </c>
      <c r="D586">
        <f t="shared" si="19"/>
        <v>1.3716207368028252E-4</v>
      </c>
      <c r="E586" t="s">
        <v>19</v>
      </c>
      <c r="F586" t="s">
        <v>688</v>
      </c>
      <c r="G586" t="s">
        <v>2</v>
      </c>
      <c r="H586" t="s">
        <v>1</v>
      </c>
      <c r="I586" t="s">
        <v>16</v>
      </c>
      <c r="J586" t="s">
        <v>19</v>
      </c>
    </row>
    <row r="587" spans="1:10" x14ac:dyDescent="0.2">
      <c r="A587" t="s">
        <v>357</v>
      </c>
      <c r="B587">
        <v>0.65300000000000002</v>
      </c>
      <c r="C587">
        <f t="shared" si="18"/>
        <v>0.52048198628928322</v>
      </c>
      <c r="D587">
        <f t="shared" si="19"/>
        <v>1.4196465997078421E-3</v>
      </c>
      <c r="E587" t="s">
        <v>20</v>
      </c>
      <c r="F587" t="s">
        <v>688</v>
      </c>
      <c r="G587" t="s">
        <v>2</v>
      </c>
      <c r="H587" t="s">
        <v>1</v>
      </c>
      <c r="I587" t="s">
        <v>16</v>
      </c>
      <c r="J587" t="s">
        <v>19</v>
      </c>
    </row>
    <row r="588" spans="1:10" x14ac:dyDescent="0.2">
      <c r="A588" t="s">
        <v>45</v>
      </c>
      <c r="B588">
        <v>0</v>
      </c>
      <c r="C588">
        <f t="shared" si="18"/>
        <v>1</v>
      </c>
      <c r="D588">
        <f t="shared" si="19"/>
        <v>2.7275614470907055E-3</v>
      </c>
      <c r="E588" t="s">
        <v>0</v>
      </c>
      <c r="F588" t="s">
        <v>688</v>
      </c>
      <c r="G588" t="s">
        <v>1</v>
      </c>
      <c r="H588" t="s">
        <v>1</v>
      </c>
      <c r="I588" t="s">
        <v>16</v>
      </c>
      <c r="J588" t="s">
        <v>19</v>
      </c>
    </row>
    <row r="589" spans="1:10" x14ac:dyDescent="0.2">
      <c r="A589" t="s">
        <v>74</v>
      </c>
      <c r="B589">
        <v>0</v>
      </c>
      <c r="C589">
        <f t="shared" si="18"/>
        <v>1</v>
      </c>
      <c r="D589">
        <f t="shared" si="19"/>
        <v>2.7275614470907055E-3</v>
      </c>
      <c r="E589" t="s">
        <v>9</v>
      </c>
      <c r="F589" t="s">
        <v>688</v>
      </c>
      <c r="G589" t="s">
        <v>1</v>
      </c>
      <c r="H589" t="s">
        <v>1</v>
      </c>
      <c r="I589" t="s">
        <v>16</v>
      </c>
      <c r="J589" t="s">
        <v>19</v>
      </c>
    </row>
    <row r="590" spans="1:10" x14ac:dyDescent="0.2">
      <c r="A590" t="s">
        <v>86</v>
      </c>
      <c r="B590">
        <v>1.6439999999999999</v>
      </c>
      <c r="C590">
        <f t="shared" si="18"/>
        <v>0.1932056718950137</v>
      </c>
      <c r="D590">
        <f t="shared" si="19"/>
        <v>5.2698034202009565E-4</v>
      </c>
      <c r="E590" t="s">
        <v>26</v>
      </c>
      <c r="F590" t="s">
        <v>688</v>
      </c>
      <c r="G590" t="s">
        <v>1</v>
      </c>
      <c r="H590" t="s">
        <v>1</v>
      </c>
      <c r="I590" t="s">
        <v>16</v>
      </c>
      <c r="J590" t="s">
        <v>19</v>
      </c>
    </row>
    <row r="591" spans="1:10" x14ac:dyDescent="0.2">
      <c r="A591" t="s">
        <v>91</v>
      </c>
      <c r="B591">
        <v>0.26300000000000001</v>
      </c>
      <c r="C591">
        <f t="shared" si="18"/>
        <v>0.76874189731116027</v>
      </c>
      <c r="D591">
        <f t="shared" si="19"/>
        <v>2.0967907618692828E-3</v>
      </c>
      <c r="E591" t="s">
        <v>24</v>
      </c>
      <c r="F591" t="s">
        <v>688</v>
      </c>
      <c r="G591" t="s">
        <v>1</v>
      </c>
      <c r="H591" t="s">
        <v>1</v>
      </c>
      <c r="I591" t="s">
        <v>16</v>
      </c>
      <c r="J591" t="s">
        <v>19</v>
      </c>
    </row>
    <row r="592" spans="1:10" x14ac:dyDescent="0.2">
      <c r="A592" t="s">
        <v>117</v>
      </c>
      <c r="B592">
        <v>0</v>
      </c>
      <c r="C592">
        <f t="shared" si="18"/>
        <v>1</v>
      </c>
      <c r="D592">
        <f t="shared" si="19"/>
        <v>2.7275614470907055E-3</v>
      </c>
      <c r="E592" t="s">
        <v>10</v>
      </c>
      <c r="F592" t="s">
        <v>688</v>
      </c>
      <c r="G592" t="s">
        <v>1</v>
      </c>
      <c r="H592" t="s">
        <v>1</v>
      </c>
      <c r="I592" t="s">
        <v>16</v>
      </c>
      <c r="J592" t="s">
        <v>19</v>
      </c>
    </row>
    <row r="593" spans="1:10" x14ac:dyDescent="0.2">
      <c r="A593" t="s">
        <v>148</v>
      </c>
      <c r="B593">
        <v>0</v>
      </c>
      <c r="C593">
        <f t="shared" si="18"/>
        <v>1</v>
      </c>
      <c r="D593">
        <f t="shared" si="19"/>
        <v>2.7275614470907055E-3</v>
      </c>
      <c r="E593" t="s">
        <v>12</v>
      </c>
      <c r="F593" t="s">
        <v>688</v>
      </c>
      <c r="G593" t="s">
        <v>1</v>
      </c>
      <c r="H593" t="s">
        <v>1</v>
      </c>
      <c r="I593" t="s">
        <v>16</v>
      </c>
      <c r="J593" t="s">
        <v>19</v>
      </c>
    </row>
    <row r="594" spans="1:10" x14ac:dyDescent="0.2">
      <c r="A594" t="s">
        <v>166</v>
      </c>
      <c r="B594">
        <v>0</v>
      </c>
      <c r="C594">
        <f t="shared" si="18"/>
        <v>1</v>
      </c>
      <c r="D594">
        <f t="shared" si="19"/>
        <v>2.7275614470907055E-3</v>
      </c>
      <c r="E594" t="s">
        <v>5</v>
      </c>
      <c r="F594" t="s">
        <v>688</v>
      </c>
      <c r="G594" t="s">
        <v>1</v>
      </c>
      <c r="H594" t="s">
        <v>1</v>
      </c>
      <c r="I594" t="s">
        <v>16</v>
      </c>
      <c r="J594" t="s">
        <v>19</v>
      </c>
    </row>
    <row r="595" spans="1:10" x14ac:dyDescent="0.2">
      <c r="A595" t="s">
        <v>191</v>
      </c>
      <c r="B595">
        <v>0</v>
      </c>
      <c r="C595">
        <f t="shared" si="18"/>
        <v>1</v>
      </c>
      <c r="D595">
        <f t="shared" si="19"/>
        <v>2.7275614470907055E-3</v>
      </c>
      <c r="E595" t="s">
        <v>22</v>
      </c>
      <c r="F595" t="s">
        <v>688</v>
      </c>
      <c r="G595" t="s">
        <v>1</v>
      </c>
      <c r="H595" t="s">
        <v>1</v>
      </c>
      <c r="I595" t="s">
        <v>16</v>
      </c>
      <c r="J595" t="s">
        <v>19</v>
      </c>
    </row>
    <row r="596" spans="1:10" x14ac:dyDescent="0.2">
      <c r="A596" t="s">
        <v>209</v>
      </c>
      <c r="B596">
        <v>0</v>
      </c>
      <c r="C596">
        <f t="shared" si="18"/>
        <v>1</v>
      </c>
      <c r="D596">
        <f t="shared" si="19"/>
        <v>2.7275614470907055E-3</v>
      </c>
      <c r="E596" t="s">
        <v>13</v>
      </c>
      <c r="F596" t="s">
        <v>688</v>
      </c>
      <c r="G596" t="s">
        <v>1</v>
      </c>
      <c r="H596" t="s">
        <v>1</v>
      </c>
      <c r="I596" t="s">
        <v>16</v>
      </c>
      <c r="J596" t="s">
        <v>19</v>
      </c>
    </row>
    <row r="597" spans="1:10" x14ac:dyDescent="0.2">
      <c r="A597" t="s">
        <v>223</v>
      </c>
      <c r="B597">
        <v>0</v>
      </c>
      <c r="C597">
        <f t="shared" si="18"/>
        <v>1</v>
      </c>
      <c r="D597">
        <f t="shared" si="19"/>
        <v>2.7275614470907055E-3</v>
      </c>
      <c r="E597" t="s">
        <v>2</v>
      </c>
      <c r="F597" t="s">
        <v>688</v>
      </c>
      <c r="G597" t="s">
        <v>1</v>
      </c>
      <c r="H597" t="s">
        <v>1</v>
      </c>
      <c r="I597" t="s">
        <v>16</v>
      </c>
      <c r="J597" t="s">
        <v>19</v>
      </c>
    </row>
    <row r="598" spans="1:10" x14ac:dyDescent="0.2">
      <c r="A598" t="s">
        <v>244</v>
      </c>
      <c r="B598">
        <v>0</v>
      </c>
      <c r="C598">
        <f t="shared" si="18"/>
        <v>1</v>
      </c>
      <c r="D598">
        <f t="shared" si="19"/>
        <v>2.7275614470907055E-3</v>
      </c>
      <c r="E598" t="s">
        <v>14</v>
      </c>
      <c r="F598" t="s">
        <v>688</v>
      </c>
      <c r="G598" t="s">
        <v>1</v>
      </c>
      <c r="H598" t="s">
        <v>1</v>
      </c>
      <c r="I598" t="s">
        <v>16</v>
      </c>
      <c r="J598" t="s">
        <v>19</v>
      </c>
    </row>
    <row r="599" spans="1:10" x14ac:dyDescent="0.2">
      <c r="A599" t="s">
        <v>266</v>
      </c>
      <c r="B599">
        <v>0</v>
      </c>
      <c r="C599">
        <f t="shared" si="18"/>
        <v>1</v>
      </c>
      <c r="D599">
        <f t="shared" si="19"/>
        <v>2.7275614470907055E-3</v>
      </c>
      <c r="E599" t="s">
        <v>1</v>
      </c>
      <c r="F599" t="s">
        <v>688</v>
      </c>
      <c r="G599" t="s">
        <v>1</v>
      </c>
      <c r="H599" t="s">
        <v>1</v>
      </c>
      <c r="I599" t="s">
        <v>16</v>
      </c>
      <c r="J599" t="s">
        <v>19</v>
      </c>
    </row>
    <row r="600" spans="1:10" x14ac:dyDescent="0.2">
      <c r="A600" t="s">
        <v>319</v>
      </c>
      <c r="B600">
        <v>0.45200000000000001</v>
      </c>
      <c r="C600">
        <f t="shared" si="18"/>
        <v>0.63635416972508707</v>
      </c>
      <c r="D600">
        <f t="shared" si="19"/>
        <v>1.7356951000375631E-3</v>
      </c>
      <c r="E600" t="s">
        <v>17</v>
      </c>
      <c r="F600" t="s">
        <v>688</v>
      </c>
      <c r="G600" t="s">
        <v>1</v>
      </c>
      <c r="H600" t="s">
        <v>1</v>
      </c>
      <c r="I600" t="s">
        <v>16</v>
      </c>
      <c r="J600" t="s">
        <v>19</v>
      </c>
    </row>
    <row r="601" spans="1:10" x14ac:dyDescent="0.2">
      <c r="A601" t="s">
        <v>336</v>
      </c>
      <c r="B601">
        <v>0</v>
      </c>
      <c r="C601">
        <f t="shared" si="18"/>
        <v>1</v>
      </c>
      <c r="D601">
        <f t="shared" si="19"/>
        <v>2.7275614470907055E-3</v>
      </c>
      <c r="E601" t="s">
        <v>18</v>
      </c>
      <c r="F601" t="s">
        <v>688</v>
      </c>
      <c r="G601" t="s">
        <v>1</v>
      </c>
      <c r="H601" t="s">
        <v>1</v>
      </c>
      <c r="I601" t="s">
        <v>16</v>
      </c>
      <c r="J601" t="s">
        <v>19</v>
      </c>
    </row>
    <row r="602" spans="1:10" x14ac:dyDescent="0.2">
      <c r="A602" t="s">
        <v>46</v>
      </c>
      <c r="B602">
        <v>0.377</v>
      </c>
      <c r="C602">
        <f t="shared" si="18"/>
        <v>0.68591607389602016</v>
      </c>
      <c r="D602">
        <f t="shared" si="19"/>
        <v>1.8708782390986041E-3</v>
      </c>
      <c r="E602" t="s">
        <v>0</v>
      </c>
      <c r="F602" t="s">
        <v>688</v>
      </c>
      <c r="G602" t="s">
        <v>15</v>
      </c>
      <c r="H602" t="s">
        <v>1</v>
      </c>
      <c r="I602" t="s">
        <v>16</v>
      </c>
      <c r="J602" t="s">
        <v>19</v>
      </c>
    </row>
    <row r="603" spans="1:10" x14ac:dyDescent="0.2">
      <c r="A603" t="s">
        <v>75</v>
      </c>
      <c r="B603">
        <v>0.377</v>
      </c>
      <c r="C603">
        <f t="shared" si="18"/>
        <v>0.68591607389602016</v>
      </c>
      <c r="D603">
        <f t="shared" si="19"/>
        <v>1.8708782390986041E-3</v>
      </c>
      <c r="E603" t="s">
        <v>9</v>
      </c>
      <c r="F603" t="s">
        <v>688</v>
      </c>
      <c r="G603" t="s">
        <v>15</v>
      </c>
      <c r="H603" t="s">
        <v>1</v>
      </c>
      <c r="I603" t="s">
        <v>16</v>
      </c>
      <c r="J603" t="s">
        <v>19</v>
      </c>
    </row>
    <row r="604" spans="1:10" x14ac:dyDescent="0.2">
      <c r="A604" t="s">
        <v>92</v>
      </c>
      <c r="B604">
        <v>0.64</v>
      </c>
      <c r="C604">
        <f t="shared" si="18"/>
        <v>0.52729242404304855</v>
      </c>
      <c r="D604">
        <f t="shared" si="19"/>
        <v>1.4382224871628236E-3</v>
      </c>
      <c r="E604" t="s">
        <v>24</v>
      </c>
      <c r="F604" t="s">
        <v>688</v>
      </c>
      <c r="G604" t="s">
        <v>15</v>
      </c>
      <c r="H604" t="s">
        <v>1</v>
      </c>
      <c r="I604" t="s">
        <v>16</v>
      </c>
      <c r="J604" t="s">
        <v>19</v>
      </c>
    </row>
    <row r="605" spans="1:10" x14ac:dyDescent="0.2">
      <c r="A605" t="s">
        <v>137</v>
      </c>
      <c r="B605">
        <v>1.23</v>
      </c>
      <c r="C605">
        <f t="shared" si="18"/>
        <v>0.29229257768085942</v>
      </c>
      <c r="D605">
        <f t="shared" si="19"/>
        <v>7.9724596615307738E-4</v>
      </c>
      <c r="E605" t="s">
        <v>11</v>
      </c>
      <c r="F605" t="s">
        <v>688</v>
      </c>
      <c r="G605" t="s">
        <v>15</v>
      </c>
      <c r="H605" t="s">
        <v>1</v>
      </c>
      <c r="I605" t="s">
        <v>16</v>
      </c>
      <c r="J605" t="s">
        <v>19</v>
      </c>
    </row>
    <row r="606" spans="1:10" x14ac:dyDescent="0.2">
      <c r="A606" t="s">
        <v>149</v>
      </c>
      <c r="B606">
        <v>0.377</v>
      </c>
      <c r="C606">
        <f t="shared" si="18"/>
        <v>0.68591607389602016</v>
      </c>
      <c r="D606">
        <f t="shared" si="19"/>
        <v>1.8708782390986041E-3</v>
      </c>
      <c r="E606" t="s">
        <v>12</v>
      </c>
      <c r="F606" t="s">
        <v>688</v>
      </c>
      <c r="G606" t="s">
        <v>15</v>
      </c>
      <c r="H606" t="s">
        <v>1</v>
      </c>
      <c r="I606" t="s">
        <v>16</v>
      </c>
      <c r="J606" t="s">
        <v>19</v>
      </c>
    </row>
    <row r="607" spans="1:10" x14ac:dyDescent="0.2">
      <c r="A607" t="s">
        <v>167</v>
      </c>
      <c r="B607">
        <v>0.377</v>
      </c>
      <c r="C607">
        <f t="shared" si="18"/>
        <v>0.68591607389602016</v>
      </c>
      <c r="D607">
        <f t="shared" si="19"/>
        <v>1.8708782390986041E-3</v>
      </c>
      <c r="E607" t="s">
        <v>5</v>
      </c>
      <c r="F607" t="s">
        <v>688</v>
      </c>
      <c r="G607" t="s">
        <v>15</v>
      </c>
      <c r="H607" t="s">
        <v>1</v>
      </c>
      <c r="I607" t="s">
        <v>16</v>
      </c>
      <c r="J607" t="s">
        <v>19</v>
      </c>
    </row>
    <row r="608" spans="1:10" x14ac:dyDescent="0.2">
      <c r="A608" t="s">
        <v>192</v>
      </c>
      <c r="B608">
        <v>0.377</v>
      </c>
      <c r="C608">
        <f t="shared" si="18"/>
        <v>0.68591607389602016</v>
      </c>
      <c r="D608">
        <f t="shared" si="19"/>
        <v>1.8708782390986041E-3</v>
      </c>
      <c r="E608" t="s">
        <v>22</v>
      </c>
      <c r="F608" t="s">
        <v>688</v>
      </c>
      <c r="G608" t="s">
        <v>15</v>
      </c>
      <c r="H608" t="s">
        <v>1</v>
      </c>
      <c r="I608" t="s">
        <v>16</v>
      </c>
      <c r="J608" t="s">
        <v>19</v>
      </c>
    </row>
    <row r="609" spans="1:10" x14ac:dyDescent="0.2">
      <c r="A609" t="s">
        <v>245</v>
      </c>
      <c r="B609">
        <v>0.377</v>
      </c>
      <c r="C609">
        <f t="shared" si="18"/>
        <v>0.68591607389602016</v>
      </c>
      <c r="D609">
        <f t="shared" si="19"/>
        <v>1.8708782390986041E-3</v>
      </c>
      <c r="E609" t="s">
        <v>14</v>
      </c>
      <c r="F609" t="s">
        <v>688</v>
      </c>
      <c r="G609" t="s">
        <v>15</v>
      </c>
      <c r="H609" t="s">
        <v>1</v>
      </c>
      <c r="I609" t="s">
        <v>16</v>
      </c>
      <c r="J609" t="s">
        <v>19</v>
      </c>
    </row>
    <row r="610" spans="1:10" x14ac:dyDescent="0.2">
      <c r="A610" t="s">
        <v>300</v>
      </c>
      <c r="B610">
        <v>0.377</v>
      </c>
      <c r="C610">
        <f t="shared" si="18"/>
        <v>0.68591607389602016</v>
      </c>
      <c r="D610">
        <f t="shared" si="19"/>
        <v>1.8708782390986041E-3</v>
      </c>
      <c r="E610" t="s">
        <v>16</v>
      </c>
      <c r="F610" t="s">
        <v>688</v>
      </c>
      <c r="G610" t="s">
        <v>15</v>
      </c>
      <c r="H610" t="s">
        <v>1</v>
      </c>
      <c r="I610" t="s">
        <v>16</v>
      </c>
      <c r="J610" t="s">
        <v>19</v>
      </c>
    </row>
    <row r="611" spans="1:10" x14ac:dyDescent="0.2">
      <c r="A611" t="s">
        <v>320</v>
      </c>
      <c r="B611">
        <v>0.82899999999999996</v>
      </c>
      <c r="C611">
        <f t="shared" si="18"/>
        <v>0.43648555370519337</v>
      </c>
      <c r="D611">
        <f t="shared" si="19"/>
        <v>1.1905411684983251E-3</v>
      </c>
      <c r="E611" t="s">
        <v>17</v>
      </c>
      <c r="F611" t="s">
        <v>688</v>
      </c>
      <c r="G611" t="s">
        <v>15</v>
      </c>
      <c r="H611" t="s">
        <v>1</v>
      </c>
      <c r="I611" t="s">
        <v>16</v>
      </c>
      <c r="J611" t="s">
        <v>19</v>
      </c>
    </row>
    <row r="612" spans="1:10" x14ac:dyDescent="0.2">
      <c r="A612" t="s">
        <v>337</v>
      </c>
      <c r="B612">
        <v>0.377</v>
      </c>
      <c r="C612">
        <f t="shared" si="18"/>
        <v>0.68591607389602016</v>
      </c>
      <c r="D612">
        <f t="shared" si="19"/>
        <v>1.8708782390986041E-3</v>
      </c>
      <c r="E612" t="s">
        <v>18</v>
      </c>
      <c r="F612" t="s">
        <v>688</v>
      </c>
      <c r="G612" t="s">
        <v>15</v>
      </c>
      <c r="H612" t="s">
        <v>1</v>
      </c>
      <c r="I612" t="s">
        <v>16</v>
      </c>
      <c r="J612" t="s">
        <v>19</v>
      </c>
    </row>
    <row r="613" spans="1:10" x14ac:dyDescent="0.2">
      <c r="A613" t="s">
        <v>47</v>
      </c>
      <c r="B613">
        <v>0</v>
      </c>
      <c r="C613">
        <f t="shared" si="18"/>
        <v>1</v>
      </c>
      <c r="D613">
        <f t="shared" si="19"/>
        <v>2.7275614470907055E-3</v>
      </c>
      <c r="E613" t="s">
        <v>0</v>
      </c>
      <c r="F613" t="s">
        <v>688</v>
      </c>
      <c r="G613" t="s">
        <v>16</v>
      </c>
      <c r="H613" t="s">
        <v>1</v>
      </c>
      <c r="I613" t="s">
        <v>16</v>
      </c>
      <c r="J613" t="s">
        <v>19</v>
      </c>
    </row>
    <row r="614" spans="1:10" x14ac:dyDescent="0.2">
      <c r="A614" t="s">
        <v>59</v>
      </c>
      <c r="B614">
        <v>0.377</v>
      </c>
      <c r="C614">
        <f t="shared" si="18"/>
        <v>0.68591607389602016</v>
      </c>
      <c r="D614">
        <f t="shared" si="19"/>
        <v>1.8708782390986041E-3</v>
      </c>
      <c r="E614" t="s">
        <v>8</v>
      </c>
      <c r="F614" t="s">
        <v>688</v>
      </c>
      <c r="G614" t="s">
        <v>16</v>
      </c>
      <c r="H614" t="s">
        <v>1</v>
      </c>
      <c r="I614" t="s">
        <v>16</v>
      </c>
      <c r="J614" t="s">
        <v>19</v>
      </c>
    </row>
    <row r="615" spans="1:10" x14ac:dyDescent="0.2">
      <c r="A615" t="s">
        <v>93</v>
      </c>
      <c r="B615">
        <v>0.26300000000000001</v>
      </c>
      <c r="C615">
        <f t="shared" si="18"/>
        <v>0.76874189731116027</v>
      </c>
      <c r="D615">
        <f t="shared" si="19"/>
        <v>2.0967907618692828E-3</v>
      </c>
      <c r="E615" t="s">
        <v>24</v>
      </c>
      <c r="F615" t="s">
        <v>688</v>
      </c>
      <c r="G615" t="s">
        <v>16</v>
      </c>
      <c r="H615" t="s">
        <v>1</v>
      </c>
      <c r="I615" t="s">
        <v>16</v>
      </c>
      <c r="J615" t="s">
        <v>19</v>
      </c>
    </row>
    <row r="616" spans="1:10" x14ac:dyDescent="0.2">
      <c r="A616" t="s">
        <v>118</v>
      </c>
      <c r="B616">
        <v>0</v>
      </c>
      <c r="C616">
        <f t="shared" si="18"/>
        <v>1</v>
      </c>
      <c r="D616">
        <f t="shared" si="19"/>
        <v>2.7275614470907055E-3</v>
      </c>
      <c r="E616" t="s">
        <v>10</v>
      </c>
      <c r="F616" t="s">
        <v>688</v>
      </c>
      <c r="G616" t="s">
        <v>16</v>
      </c>
      <c r="H616" t="s">
        <v>1</v>
      </c>
      <c r="I616" t="s">
        <v>16</v>
      </c>
      <c r="J616" t="s">
        <v>19</v>
      </c>
    </row>
    <row r="617" spans="1:10" x14ac:dyDescent="0.2">
      <c r="A617" t="s">
        <v>150</v>
      </c>
      <c r="B617">
        <v>0</v>
      </c>
      <c r="C617">
        <f t="shared" si="18"/>
        <v>1</v>
      </c>
      <c r="D617">
        <f t="shared" si="19"/>
        <v>2.7275614470907055E-3</v>
      </c>
      <c r="E617" t="s">
        <v>12</v>
      </c>
      <c r="F617" t="s">
        <v>688</v>
      </c>
      <c r="G617" t="s">
        <v>16</v>
      </c>
      <c r="H617" t="s">
        <v>1</v>
      </c>
      <c r="I617" t="s">
        <v>16</v>
      </c>
      <c r="J617" t="s">
        <v>19</v>
      </c>
    </row>
    <row r="618" spans="1:10" x14ac:dyDescent="0.2">
      <c r="A618" t="s">
        <v>168</v>
      </c>
      <c r="B618">
        <v>0</v>
      </c>
      <c r="C618">
        <f t="shared" si="18"/>
        <v>1</v>
      </c>
      <c r="D618">
        <f t="shared" si="19"/>
        <v>2.7275614470907055E-3</v>
      </c>
      <c r="E618" t="s">
        <v>5</v>
      </c>
      <c r="F618" t="s">
        <v>688</v>
      </c>
      <c r="G618" t="s">
        <v>16</v>
      </c>
      <c r="H618" t="s">
        <v>1</v>
      </c>
      <c r="I618" t="s">
        <v>16</v>
      </c>
      <c r="J618" t="s">
        <v>19</v>
      </c>
    </row>
    <row r="619" spans="1:10" x14ac:dyDescent="0.2">
      <c r="A619" t="s">
        <v>193</v>
      </c>
      <c r="B619">
        <v>0</v>
      </c>
      <c r="C619">
        <f t="shared" si="18"/>
        <v>1</v>
      </c>
      <c r="D619">
        <f t="shared" si="19"/>
        <v>2.7275614470907055E-3</v>
      </c>
      <c r="E619" t="s">
        <v>22</v>
      </c>
      <c r="F619" t="s">
        <v>688</v>
      </c>
      <c r="G619" t="s">
        <v>16</v>
      </c>
      <c r="H619" t="s">
        <v>1</v>
      </c>
      <c r="I619" t="s">
        <v>16</v>
      </c>
      <c r="J619" t="s">
        <v>19</v>
      </c>
    </row>
    <row r="620" spans="1:10" x14ac:dyDescent="0.2">
      <c r="A620" t="s">
        <v>210</v>
      </c>
      <c r="B620">
        <v>0</v>
      </c>
      <c r="C620">
        <f t="shared" si="18"/>
        <v>1</v>
      </c>
      <c r="D620">
        <f t="shared" si="19"/>
        <v>2.7275614470907055E-3</v>
      </c>
      <c r="E620" t="s">
        <v>13</v>
      </c>
      <c r="F620" t="s">
        <v>688</v>
      </c>
      <c r="G620" t="s">
        <v>16</v>
      </c>
      <c r="H620" t="s">
        <v>1</v>
      </c>
      <c r="I620" t="s">
        <v>16</v>
      </c>
      <c r="J620" t="s">
        <v>19</v>
      </c>
    </row>
    <row r="621" spans="1:10" x14ac:dyDescent="0.2">
      <c r="A621" t="s">
        <v>224</v>
      </c>
      <c r="B621">
        <v>0</v>
      </c>
      <c r="C621">
        <f t="shared" si="18"/>
        <v>1</v>
      </c>
      <c r="D621">
        <f t="shared" si="19"/>
        <v>2.7275614470907055E-3</v>
      </c>
      <c r="E621" t="s">
        <v>2</v>
      </c>
      <c r="F621" t="s">
        <v>688</v>
      </c>
      <c r="G621" t="s">
        <v>16</v>
      </c>
      <c r="H621" t="s">
        <v>1</v>
      </c>
      <c r="I621" t="s">
        <v>16</v>
      </c>
      <c r="J621" t="s">
        <v>19</v>
      </c>
    </row>
    <row r="622" spans="1:10" x14ac:dyDescent="0.2">
      <c r="A622" t="s">
        <v>246</v>
      </c>
      <c r="B622">
        <v>0</v>
      </c>
      <c r="C622">
        <f t="shared" si="18"/>
        <v>1</v>
      </c>
      <c r="D622">
        <f t="shared" si="19"/>
        <v>2.7275614470907055E-3</v>
      </c>
      <c r="E622" t="s">
        <v>14</v>
      </c>
      <c r="F622" t="s">
        <v>688</v>
      </c>
      <c r="G622" t="s">
        <v>16</v>
      </c>
      <c r="H622" t="s">
        <v>1</v>
      </c>
      <c r="I622" t="s">
        <v>16</v>
      </c>
      <c r="J622" t="s">
        <v>19</v>
      </c>
    </row>
    <row r="623" spans="1:10" x14ac:dyDescent="0.2">
      <c r="A623" t="s">
        <v>267</v>
      </c>
      <c r="B623">
        <v>0</v>
      </c>
      <c r="C623">
        <f t="shared" si="18"/>
        <v>1</v>
      </c>
      <c r="D623">
        <f t="shared" si="19"/>
        <v>2.7275614470907055E-3</v>
      </c>
      <c r="E623" t="s">
        <v>1</v>
      </c>
      <c r="F623" t="s">
        <v>688</v>
      </c>
      <c r="G623" t="s">
        <v>16</v>
      </c>
      <c r="H623" t="s">
        <v>1</v>
      </c>
      <c r="I623" t="s">
        <v>16</v>
      </c>
      <c r="J623" t="s">
        <v>19</v>
      </c>
    </row>
    <row r="624" spans="1:10" x14ac:dyDescent="0.2">
      <c r="A624" t="s">
        <v>285</v>
      </c>
      <c r="B624">
        <v>0.377</v>
      </c>
      <c r="C624">
        <f t="shared" si="18"/>
        <v>0.68591607389602016</v>
      </c>
      <c r="D624">
        <f t="shared" si="19"/>
        <v>1.8708782390986041E-3</v>
      </c>
      <c r="E624" t="s">
        <v>15</v>
      </c>
      <c r="F624" t="s">
        <v>688</v>
      </c>
      <c r="G624" t="s">
        <v>16</v>
      </c>
      <c r="H624" t="s">
        <v>1</v>
      </c>
      <c r="I624" t="s">
        <v>16</v>
      </c>
      <c r="J624" t="s">
        <v>19</v>
      </c>
    </row>
    <row r="625" spans="1:10" x14ac:dyDescent="0.2">
      <c r="A625" t="s">
        <v>301</v>
      </c>
      <c r="B625">
        <v>0</v>
      </c>
      <c r="C625">
        <f t="shared" si="18"/>
        <v>1</v>
      </c>
      <c r="D625">
        <f t="shared" si="19"/>
        <v>2.7275614470907055E-3</v>
      </c>
      <c r="E625" t="s">
        <v>16</v>
      </c>
      <c r="F625" t="s">
        <v>688</v>
      </c>
      <c r="G625" t="s">
        <v>16</v>
      </c>
      <c r="H625" t="s">
        <v>1</v>
      </c>
      <c r="I625" t="s">
        <v>16</v>
      </c>
      <c r="J625" t="s">
        <v>19</v>
      </c>
    </row>
    <row r="626" spans="1:10" x14ac:dyDescent="0.2">
      <c r="A626" t="s">
        <v>321</v>
      </c>
      <c r="B626">
        <v>0.45200000000000001</v>
      </c>
      <c r="C626">
        <f t="shared" si="18"/>
        <v>0.63635416972508707</v>
      </c>
      <c r="D626">
        <f t="shared" si="19"/>
        <v>1.7356951000375631E-3</v>
      </c>
      <c r="E626" t="s">
        <v>17</v>
      </c>
      <c r="F626" t="s">
        <v>688</v>
      </c>
      <c r="G626" t="s">
        <v>16</v>
      </c>
      <c r="H626" t="s">
        <v>1</v>
      </c>
      <c r="I626" t="s">
        <v>16</v>
      </c>
      <c r="J626" t="s">
        <v>19</v>
      </c>
    </row>
    <row r="627" spans="1:10" x14ac:dyDescent="0.2">
      <c r="A627" t="s">
        <v>338</v>
      </c>
      <c r="B627">
        <v>0</v>
      </c>
      <c r="C627">
        <f t="shared" si="18"/>
        <v>1</v>
      </c>
      <c r="D627">
        <f t="shared" si="19"/>
        <v>2.7275614470907055E-3</v>
      </c>
      <c r="E627" t="s">
        <v>18</v>
      </c>
      <c r="F627" t="s">
        <v>688</v>
      </c>
      <c r="G627" t="s">
        <v>16</v>
      </c>
      <c r="H627" t="s">
        <v>1</v>
      </c>
      <c r="I627" t="s">
        <v>16</v>
      </c>
      <c r="J627" t="s">
        <v>19</v>
      </c>
    </row>
    <row r="628" spans="1:10" x14ac:dyDescent="0.2">
      <c r="A628" t="s">
        <v>76</v>
      </c>
      <c r="B628">
        <v>0.65</v>
      </c>
      <c r="C628">
        <f t="shared" si="18"/>
        <v>0.52204577676101604</v>
      </c>
      <c r="D628">
        <f t="shared" si="19"/>
        <v>1.4239119343098683E-3</v>
      </c>
      <c r="E628" t="s">
        <v>9</v>
      </c>
      <c r="F628" t="s">
        <v>688</v>
      </c>
      <c r="G628" t="s">
        <v>25</v>
      </c>
      <c r="H628" t="s">
        <v>1</v>
      </c>
      <c r="I628" t="s">
        <v>16</v>
      </c>
      <c r="J628" t="s">
        <v>19</v>
      </c>
    </row>
    <row r="629" spans="1:10" x14ac:dyDescent="0.2">
      <c r="A629" t="s">
        <v>94</v>
      </c>
      <c r="B629">
        <v>0.91300000000000003</v>
      </c>
      <c r="C629">
        <f t="shared" si="18"/>
        <v>0.40131846091054191</v>
      </c>
      <c r="D629">
        <f t="shared" si="19"/>
        <v>1.0946207619853725E-3</v>
      </c>
      <c r="E629" t="s">
        <v>24</v>
      </c>
      <c r="F629" t="s">
        <v>688</v>
      </c>
      <c r="G629" t="s">
        <v>25</v>
      </c>
      <c r="H629" t="s">
        <v>1</v>
      </c>
      <c r="I629" t="s">
        <v>16</v>
      </c>
      <c r="J629" t="s">
        <v>19</v>
      </c>
    </row>
    <row r="630" spans="1:10" x14ac:dyDescent="0.2">
      <c r="A630" t="s">
        <v>194</v>
      </c>
      <c r="B630">
        <v>0.65</v>
      </c>
      <c r="C630">
        <f t="shared" si="18"/>
        <v>0.52204577676101604</v>
      </c>
      <c r="D630">
        <f t="shared" si="19"/>
        <v>1.4239119343098683E-3</v>
      </c>
      <c r="E630" t="s">
        <v>22</v>
      </c>
      <c r="F630" t="s">
        <v>688</v>
      </c>
      <c r="G630" t="s">
        <v>25</v>
      </c>
      <c r="H630" t="s">
        <v>1</v>
      </c>
      <c r="I630" t="s">
        <v>16</v>
      </c>
      <c r="J630" t="s">
        <v>19</v>
      </c>
    </row>
    <row r="631" spans="1:10" x14ac:dyDescent="0.2">
      <c r="A631" t="s">
        <v>225</v>
      </c>
      <c r="B631">
        <v>0.65</v>
      </c>
      <c r="C631">
        <f t="shared" si="18"/>
        <v>0.52204577676101604</v>
      </c>
      <c r="D631">
        <f t="shared" si="19"/>
        <v>1.4239119343098683E-3</v>
      </c>
      <c r="E631" t="s">
        <v>2</v>
      </c>
      <c r="F631" t="s">
        <v>688</v>
      </c>
      <c r="G631" t="s">
        <v>25</v>
      </c>
      <c r="H631" t="s">
        <v>1</v>
      </c>
      <c r="I631" t="s">
        <v>16</v>
      </c>
      <c r="J631" t="s">
        <v>19</v>
      </c>
    </row>
    <row r="632" spans="1:10" x14ac:dyDescent="0.2">
      <c r="A632" t="s">
        <v>247</v>
      </c>
      <c r="B632">
        <v>0.65</v>
      </c>
      <c r="C632">
        <f t="shared" si="18"/>
        <v>0.52204577676101604</v>
      </c>
      <c r="D632">
        <f t="shared" si="19"/>
        <v>1.4239119343098683E-3</v>
      </c>
      <c r="E632" t="s">
        <v>14</v>
      </c>
      <c r="F632" t="s">
        <v>688</v>
      </c>
      <c r="G632" t="s">
        <v>25</v>
      </c>
      <c r="H632" t="s">
        <v>1</v>
      </c>
      <c r="I632" t="s">
        <v>16</v>
      </c>
      <c r="J632" t="s">
        <v>19</v>
      </c>
    </row>
    <row r="633" spans="1:10" x14ac:dyDescent="0.2">
      <c r="A633" t="s">
        <v>268</v>
      </c>
      <c r="B633">
        <v>0.65</v>
      </c>
      <c r="C633">
        <f t="shared" si="18"/>
        <v>0.52204577676101604</v>
      </c>
      <c r="D633">
        <f t="shared" si="19"/>
        <v>1.4239119343098683E-3</v>
      </c>
      <c r="E633" t="s">
        <v>1</v>
      </c>
      <c r="F633" t="s">
        <v>688</v>
      </c>
      <c r="G633" t="s">
        <v>25</v>
      </c>
      <c r="H633" t="s">
        <v>1</v>
      </c>
      <c r="I633" t="s">
        <v>16</v>
      </c>
      <c r="J633" t="s">
        <v>19</v>
      </c>
    </row>
    <row r="634" spans="1:10" x14ac:dyDescent="0.2">
      <c r="A634" t="s">
        <v>339</v>
      </c>
      <c r="B634">
        <v>0.65</v>
      </c>
      <c r="C634">
        <f t="shared" si="18"/>
        <v>0.52204577676101604</v>
      </c>
      <c r="D634">
        <f t="shared" si="19"/>
        <v>1.4239119343098683E-3</v>
      </c>
      <c r="E634" t="s">
        <v>18</v>
      </c>
      <c r="F634" t="s">
        <v>688</v>
      </c>
      <c r="G634" t="s">
        <v>25</v>
      </c>
      <c r="H634" t="s">
        <v>1</v>
      </c>
      <c r="I634" t="s">
        <v>16</v>
      </c>
      <c r="J634" t="s">
        <v>19</v>
      </c>
    </row>
    <row r="635" spans="1:10" x14ac:dyDescent="0.2">
      <c r="A635" t="s">
        <v>742</v>
      </c>
      <c r="B635">
        <v>0.754</v>
      </c>
      <c r="C635">
        <f t="shared" si="18"/>
        <v>0.47048086042893056</v>
      </c>
      <c r="D635">
        <f t="shared" si="19"/>
        <v>1.2832654565000142E-3</v>
      </c>
      <c r="E635" t="s">
        <v>8</v>
      </c>
      <c r="F635" t="s">
        <v>688</v>
      </c>
      <c r="G635" t="s">
        <v>8</v>
      </c>
      <c r="H635" t="s">
        <v>1</v>
      </c>
      <c r="I635" t="s">
        <v>16</v>
      </c>
      <c r="J635" t="s">
        <v>13</v>
      </c>
    </row>
    <row r="636" spans="1:10" x14ac:dyDescent="0.2">
      <c r="A636" t="s">
        <v>777</v>
      </c>
      <c r="B636">
        <v>2.0209999999999999</v>
      </c>
      <c r="C636">
        <f t="shared" si="18"/>
        <v>0.13252287592067044</v>
      </c>
      <c r="D636">
        <f t="shared" si="19"/>
        <v>3.614642872188059E-4</v>
      </c>
      <c r="E636" t="s">
        <v>26</v>
      </c>
      <c r="F636" t="s">
        <v>688</v>
      </c>
      <c r="G636" t="s">
        <v>8</v>
      </c>
      <c r="H636" t="s">
        <v>1</v>
      </c>
      <c r="I636" t="s">
        <v>16</v>
      </c>
      <c r="J636" t="s">
        <v>13</v>
      </c>
    </row>
    <row r="637" spans="1:10" x14ac:dyDescent="0.2">
      <c r="A637" t="s">
        <v>822</v>
      </c>
      <c r="B637">
        <v>1.0680000000000001</v>
      </c>
      <c r="C637">
        <f t="shared" si="18"/>
        <v>0.34369522092815236</v>
      </c>
      <c r="D637">
        <f t="shared" si="19"/>
        <v>9.3744983415295106E-4</v>
      </c>
      <c r="E637" t="s">
        <v>23</v>
      </c>
      <c r="F637" t="s">
        <v>688</v>
      </c>
      <c r="G637" t="s">
        <v>8</v>
      </c>
      <c r="H637" t="s">
        <v>1</v>
      </c>
      <c r="I637" t="s">
        <v>16</v>
      </c>
      <c r="J637" t="s">
        <v>13</v>
      </c>
    </row>
    <row r="638" spans="1:10" x14ac:dyDescent="0.2">
      <c r="A638" t="s">
        <v>858</v>
      </c>
      <c r="B638">
        <v>1.23</v>
      </c>
      <c r="C638">
        <f t="shared" si="18"/>
        <v>0.29229257768085942</v>
      </c>
      <c r="D638">
        <f t="shared" si="19"/>
        <v>7.9724596615307738E-4</v>
      </c>
      <c r="E638" t="s">
        <v>11</v>
      </c>
      <c r="F638" t="s">
        <v>688</v>
      </c>
      <c r="G638" t="s">
        <v>8</v>
      </c>
      <c r="H638" t="s">
        <v>1</v>
      </c>
      <c r="I638" t="s">
        <v>16</v>
      </c>
      <c r="J638" t="s">
        <v>13</v>
      </c>
    </row>
    <row r="639" spans="1:10" x14ac:dyDescent="0.2">
      <c r="A639" t="s">
        <v>953</v>
      </c>
      <c r="B639">
        <v>0.377</v>
      </c>
      <c r="C639">
        <f t="shared" si="18"/>
        <v>0.68591607389602016</v>
      </c>
      <c r="D639">
        <f t="shared" si="19"/>
        <v>1.8708782390986041E-3</v>
      </c>
      <c r="E639" t="s">
        <v>1</v>
      </c>
      <c r="F639" t="s">
        <v>688</v>
      </c>
      <c r="G639" t="s">
        <v>8</v>
      </c>
      <c r="H639" t="s">
        <v>1</v>
      </c>
      <c r="I639" t="s">
        <v>16</v>
      </c>
      <c r="J639" t="s">
        <v>13</v>
      </c>
    </row>
    <row r="640" spans="1:10" x14ac:dyDescent="0.2">
      <c r="A640" t="s">
        <v>965</v>
      </c>
      <c r="B640">
        <v>0.754</v>
      </c>
      <c r="C640">
        <f t="shared" si="18"/>
        <v>0.47048086042893056</v>
      </c>
      <c r="D640">
        <f t="shared" si="19"/>
        <v>1.2832654565000142E-3</v>
      </c>
      <c r="E640" t="s">
        <v>15</v>
      </c>
      <c r="F640" t="s">
        <v>688</v>
      </c>
      <c r="G640" t="s">
        <v>8</v>
      </c>
      <c r="H640" t="s">
        <v>1</v>
      </c>
      <c r="I640" t="s">
        <v>16</v>
      </c>
      <c r="J640" t="s">
        <v>13</v>
      </c>
    </row>
    <row r="641" spans="1:10" x14ac:dyDescent="0.2">
      <c r="A641" t="s">
        <v>984</v>
      </c>
      <c r="B641">
        <v>0.377</v>
      </c>
      <c r="C641">
        <f t="shared" si="18"/>
        <v>0.68591607389602016</v>
      </c>
      <c r="D641">
        <f t="shared" si="19"/>
        <v>1.8708782390986041E-3</v>
      </c>
      <c r="E641" t="s">
        <v>16</v>
      </c>
      <c r="F641" t="s">
        <v>688</v>
      </c>
      <c r="G641" t="s">
        <v>8</v>
      </c>
      <c r="H641" t="s">
        <v>1</v>
      </c>
      <c r="I641" t="s">
        <v>16</v>
      </c>
      <c r="J641" t="s">
        <v>13</v>
      </c>
    </row>
    <row r="642" spans="1:10" x14ac:dyDescent="0.2">
      <c r="A642" t="s">
        <v>998</v>
      </c>
      <c r="B642">
        <v>1.657</v>
      </c>
      <c r="C642">
        <f t="shared" si="18"/>
        <v>0.19071025352350304</v>
      </c>
      <c r="D642">
        <f t="shared" si="19"/>
        <v>5.2017393507560134E-4</v>
      </c>
      <c r="E642" t="s">
        <v>25</v>
      </c>
      <c r="F642" t="s">
        <v>688</v>
      </c>
      <c r="G642" t="s">
        <v>8</v>
      </c>
      <c r="H642" t="s">
        <v>1</v>
      </c>
      <c r="I642" t="s">
        <v>16</v>
      </c>
      <c r="J642" t="s">
        <v>13</v>
      </c>
    </row>
    <row r="643" spans="1:10" x14ac:dyDescent="0.2">
      <c r="A643" t="s">
        <v>1026</v>
      </c>
      <c r="B643">
        <v>0.82899999999999996</v>
      </c>
      <c r="C643">
        <f t="shared" ref="C643:C705" si="20">EXP(-B643)</f>
        <v>0.43648555370519337</v>
      </c>
      <c r="D643">
        <f t="shared" ref="D643:D705" si="21">C643/366.627854</f>
        <v>1.1905411684983251E-3</v>
      </c>
      <c r="E643" t="s">
        <v>17</v>
      </c>
      <c r="F643" t="s">
        <v>688</v>
      </c>
      <c r="G643" t="s">
        <v>8</v>
      </c>
      <c r="H643" t="s">
        <v>1</v>
      </c>
      <c r="I643" t="s">
        <v>16</v>
      </c>
      <c r="J643" t="s">
        <v>13</v>
      </c>
    </row>
    <row r="644" spans="1:10" x14ac:dyDescent="0.2">
      <c r="A644" t="s">
        <v>1055</v>
      </c>
      <c r="B644">
        <v>3.367</v>
      </c>
      <c r="C644">
        <f t="shared" si="20"/>
        <v>3.4492961163740683E-2</v>
      </c>
      <c r="D644">
        <f t="shared" si="21"/>
        <v>9.4081671066216047E-5</v>
      </c>
      <c r="E644" t="s">
        <v>19</v>
      </c>
      <c r="F644" t="s">
        <v>688</v>
      </c>
      <c r="G644" t="s">
        <v>8</v>
      </c>
      <c r="H644" t="s">
        <v>1</v>
      </c>
      <c r="I644" t="s">
        <v>16</v>
      </c>
      <c r="J644" t="s">
        <v>13</v>
      </c>
    </row>
    <row r="645" spans="1:10" x14ac:dyDescent="0.2">
      <c r="A645" t="s">
        <v>745</v>
      </c>
      <c r="B645">
        <v>0.64</v>
      </c>
      <c r="C645">
        <f t="shared" si="20"/>
        <v>0.52729242404304855</v>
      </c>
      <c r="D645">
        <f t="shared" si="21"/>
        <v>1.4382224871628236E-3</v>
      </c>
      <c r="E645" t="s">
        <v>8</v>
      </c>
      <c r="F645" t="s">
        <v>688</v>
      </c>
      <c r="G645" t="s">
        <v>24</v>
      </c>
      <c r="H645" t="s">
        <v>1</v>
      </c>
      <c r="I645" t="s">
        <v>16</v>
      </c>
      <c r="J645" t="s">
        <v>13</v>
      </c>
    </row>
    <row r="646" spans="1:10" x14ac:dyDescent="0.2">
      <c r="A646" t="s">
        <v>780</v>
      </c>
      <c r="B646">
        <v>1.907</v>
      </c>
      <c r="C646">
        <f t="shared" si="20"/>
        <v>0.14852529478385032</v>
      </c>
      <c r="D646">
        <f t="shared" si="21"/>
        <v>4.051118679702124E-4</v>
      </c>
      <c r="E646" t="s">
        <v>26</v>
      </c>
      <c r="F646" t="s">
        <v>688</v>
      </c>
      <c r="G646" t="s">
        <v>24</v>
      </c>
      <c r="H646" t="s">
        <v>1</v>
      </c>
      <c r="I646" t="s">
        <v>16</v>
      </c>
      <c r="J646" t="s">
        <v>13</v>
      </c>
    </row>
    <row r="647" spans="1:10" x14ac:dyDescent="0.2">
      <c r="A647" t="s">
        <v>809</v>
      </c>
      <c r="B647">
        <v>0.52600000000000002</v>
      </c>
      <c r="C647">
        <f t="shared" si="20"/>
        <v>0.59096410468156257</v>
      </c>
      <c r="D647">
        <f t="shared" si="21"/>
        <v>1.6118909085439061E-3</v>
      </c>
      <c r="E647" t="s">
        <v>24</v>
      </c>
      <c r="F647" t="s">
        <v>688</v>
      </c>
      <c r="G647" t="s">
        <v>24</v>
      </c>
      <c r="H647" t="s">
        <v>1</v>
      </c>
      <c r="I647" t="s">
        <v>16</v>
      </c>
      <c r="J647" t="s">
        <v>13</v>
      </c>
    </row>
    <row r="648" spans="1:10" x14ac:dyDescent="0.2">
      <c r="A648" t="s">
        <v>847</v>
      </c>
      <c r="B648">
        <v>0.26300000000000001</v>
      </c>
      <c r="C648">
        <f t="shared" si="20"/>
        <v>0.76874189731116027</v>
      </c>
      <c r="D648">
        <f t="shared" si="21"/>
        <v>2.0967907618692828E-3</v>
      </c>
      <c r="E648" t="s">
        <v>10</v>
      </c>
      <c r="F648" t="s">
        <v>688</v>
      </c>
      <c r="G648" t="s">
        <v>24</v>
      </c>
      <c r="H648" t="s">
        <v>1</v>
      </c>
      <c r="I648" t="s">
        <v>16</v>
      </c>
      <c r="J648" t="s">
        <v>13</v>
      </c>
    </row>
    <row r="649" spans="1:10" x14ac:dyDescent="0.2">
      <c r="A649" t="s">
        <v>902</v>
      </c>
      <c r="B649">
        <v>0.26300000000000001</v>
      </c>
      <c r="C649">
        <f t="shared" si="20"/>
        <v>0.76874189731116027</v>
      </c>
      <c r="D649">
        <f t="shared" si="21"/>
        <v>2.0967907618692828E-3</v>
      </c>
      <c r="E649" t="s">
        <v>22</v>
      </c>
      <c r="F649" t="s">
        <v>688</v>
      </c>
      <c r="G649" t="s">
        <v>24</v>
      </c>
      <c r="H649" t="s">
        <v>1</v>
      </c>
      <c r="I649" t="s">
        <v>16</v>
      </c>
      <c r="J649" t="s">
        <v>13</v>
      </c>
    </row>
    <row r="650" spans="1:10" x14ac:dyDescent="0.2">
      <c r="A650" t="s">
        <v>916</v>
      </c>
      <c r="B650">
        <v>0.26300000000000001</v>
      </c>
      <c r="C650">
        <f t="shared" si="20"/>
        <v>0.76874189731116027</v>
      </c>
      <c r="D650">
        <f t="shared" si="21"/>
        <v>2.0967907618692828E-3</v>
      </c>
      <c r="E650" t="s">
        <v>13</v>
      </c>
      <c r="F650" t="s">
        <v>688</v>
      </c>
      <c r="G650" t="s">
        <v>24</v>
      </c>
      <c r="H650" t="s">
        <v>1</v>
      </c>
      <c r="I650" t="s">
        <v>16</v>
      </c>
      <c r="J650" t="s">
        <v>13</v>
      </c>
    </row>
    <row r="651" spans="1:10" x14ac:dyDescent="0.2">
      <c r="A651" t="s">
        <v>934</v>
      </c>
      <c r="B651">
        <v>0.26300000000000001</v>
      </c>
      <c r="C651">
        <f t="shared" si="20"/>
        <v>0.76874189731116027</v>
      </c>
      <c r="D651">
        <f t="shared" si="21"/>
        <v>2.0967907618692828E-3</v>
      </c>
      <c r="E651" t="s">
        <v>2</v>
      </c>
      <c r="F651" t="s">
        <v>688</v>
      </c>
      <c r="G651" t="s">
        <v>24</v>
      </c>
      <c r="H651" t="s">
        <v>1</v>
      </c>
      <c r="I651" t="s">
        <v>16</v>
      </c>
      <c r="J651" t="s">
        <v>13</v>
      </c>
    </row>
    <row r="652" spans="1:10" x14ac:dyDescent="0.2">
      <c r="A652" t="s">
        <v>955</v>
      </c>
      <c r="B652">
        <v>0.26300000000000001</v>
      </c>
      <c r="C652">
        <f t="shared" si="20"/>
        <v>0.76874189731116027</v>
      </c>
      <c r="D652">
        <f t="shared" si="21"/>
        <v>2.0967907618692828E-3</v>
      </c>
      <c r="E652" t="s">
        <v>1</v>
      </c>
      <c r="F652" t="s">
        <v>688</v>
      </c>
      <c r="G652" t="s">
        <v>24</v>
      </c>
      <c r="H652" t="s">
        <v>1</v>
      </c>
      <c r="I652" t="s">
        <v>16</v>
      </c>
      <c r="J652" t="s">
        <v>13</v>
      </c>
    </row>
    <row r="653" spans="1:10" x14ac:dyDescent="0.2">
      <c r="A653" t="s">
        <v>1001</v>
      </c>
      <c r="B653">
        <v>1.5429999999999999</v>
      </c>
      <c r="C653">
        <f t="shared" si="20"/>
        <v>0.21373892187366161</v>
      </c>
      <c r="D653">
        <f t="shared" si="21"/>
        <v>5.829860430453318E-4</v>
      </c>
      <c r="E653" t="s">
        <v>25</v>
      </c>
      <c r="F653" t="s">
        <v>688</v>
      </c>
      <c r="G653" t="s">
        <v>24</v>
      </c>
      <c r="H653" t="s">
        <v>1</v>
      </c>
      <c r="I653" t="s">
        <v>16</v>
      </c>
      <c r="J653" t="s">
        <v>13</v>
      </c>
    </row>
    <row r="654" spans="1:10" x14ac:dyDescent="0.2">
      <c r="A654" t="s">
        <v>1029</v>
      </c>
      <c r="B654">
        <v>0.71499999999999997</v>
      </c>
      <c r="C654">
        <f t="shared" si="20"/>
        <v>0.48919211179633154</v>
      </c>
      <c r="D654">
        <f t="shared" si="21"/>
        <v>1.3343015443565602E-3</v>
      </c>
      <c r="E654" t="s">
        <v>17</v>
      </c>
      <c r="F654" t="s">
        <v>688</v>
      </c>
      <c r="G654" t="s">
        <v>24</v>
      </c>
      <c r="H654" t="s">
        <v>1</v>
      </c>
      <c r="I654" t="s">
        <v>16</v>
      </c>
      <c r="J654" t="s">
        <v>13</v>
      </c>
    </row>
    <row r="655" spans="1:10" x14ac:dyDescent="0.2">
      <c r="A655" t="s">
        <v>1058</v>
      </c>
      <c r="B655">
        <v>3.2530000000000001</v>
      </c>
      <c r="C655">
        <f t="shared" si="20"/>
        <v>3.8658059517808929E-2</v>
      </c>
      <c r="D655">
        <f t="shared" si="21"/>
        <v>1.0544223276011355E-4</v>
      </c>
      <c r="E655" t="s">
        <v>19</v>
      </c>
      <c r="F655" t="s">
        <v>688</v>
      </c>
      <c r="G655" t="s">
        <v>24</v>
      </c>
      <c r="H655" t="s">
        <v>1</v>
      </c>
      <c r="I655" t="s">
        <v>16</v>
      </c>
      <c r="J655" t="s">
        <v>13</v>
      </c>
    </row>
    <row r="656" spans="1:10" x14ac:dyDescent="0.2">
      <c r="A656" t="s">
        <v>783</v>
      </c>
      <c r="B656">
        <v>1.6439999999999999</v>
      </c>
      <c r="C656">
        <f t="shared" si="20"/>
        <v>0.1932056718950137</v>
      </c>
      <c r="D656">
        <f t="shared" si="21"/>
        <v>5.2698034202009565E-4</v>
      </c>
      <c r="E656" t="s">
        <v>26</v>
      </c>
      <c r="F656" t="s">
        <v>688</v>
      </c>
      <c r="G656" t="s">
        <v>12</v>
      </c>
      <c r="H656" t="s">
        <v>1</v>
      </c>
      <c r="I656" t="s">
        <v>16</v>
      </c>
      <c r="J656" t="s">
        <v>13</v>
      </c>
    </row>
    <row r="657" spans="1:10" x14ac:dyDescent="0.2">
      <c r="A657" t="s">
        <v>826</v>
      </c>
      <c r="B657">
        <v>0.69099999999999995</v>
      </c>
      <c r="C657">
        <f t="shared" si="20"/>
        <v>0.50107474370144889</v>
      </c>
      <c r="D657">
        <f t="shared" si="21"/>
        <v>1.3667121530309284E-3</v>
      </c>
      <c r="E657" t="s">
        <v>23</v>
      </c>
      <c r="F657" t="s">
        <v>688</v>
      </c>
      <c r="G657" t="s">
        <v>12</v>
      </c>
      <c r="H657" t="s">
        <v>1</v>
      </c>
      <c r="I657" t="s">
        <v>16</v>
      </c>
      <c r="J657" t="s">
        <v>13</v>
      </c>
    </row>
    <row r="658" spans="1:10" x14ac:dyDescent="0.2">
      <c r="A658" t="s">
        <v>1061</v>
      </c>
      <c r="B658">
        <v>2.99</v>
      </c>
      <c r="C658">
        <f t="shared" si="20"/>
        <v>5.0287436723591865E-2</v>
      </c>
      <c r="D658">
        <f t="shared" si="21"/>
        <v>1.3716207368028252E-4</v>
      </c>
      <c r="E658" t="s">
        <v>19</v>
      </c>
      <c r="F658" t="s">
        <v>688</v>
      </c>
      <c r="G658" t="s">
        <v>12</v>
      </c>
      <c r="H658" t="s">
        <v>1</v>
      </c>
      <c r="I658" t="s">
        <v>16</v>
      </c>
      <c r="J658" t="s">
        <v>13</v>
      </c>
    </row>
    <row r="659" spans="1:10" x14ac:dyDescent="0.2">
      <c r="A659" t="s">
        <v>784</v>
      </c>
      <c r="B659">
        <v>1.6439999999999999</v>
      </c>
      <c r="C659">
        <f t="shared" si="20"/>
        <v>0.1932056718950137</v>
      </c>
      <c r="D659">
        <f t="shared" si="21"/>
        <v>5.2698034202009565E-4</v>
      </c>
      <c r="E659" t="s">
        <v>26</v>
      </c>
      <c r="F659" t="s">
        <v>688</v>
      </c>
      <c r="G659" t="s">
        <v>2</v>
      </c>
      <c r="H659" t="s">
        <v>1</v>
      </c>
      <c r="I659" t="s">
        <v>16</v>
      </c>
      <c r="J659" t="s">
        <v>13</v>
      </c>
    </row>
    <row r="660" spans="1:10" x14ac:dyDescent="0.2">
      <c r="A660" t="s">
        <v>811</v>
      </c>
      <c r="B660">
        <v>0.26300000000000001</v>
      </c>
      <c r="C660">
        <f t="shared" si="20"/>
        <v>0.76874189731116027</v>
      </c>
      <c r="D660">
        <f t="shared" si="21"/>
        <v>2.0967907618692828E-3</v>
      </c>
      <c r="E660" t="s">
        <v>24</v>
      </c>
      <c r="F660" t="s">
        <v>688</v>
      </c>
      <c r="G660" t="s">
        <v>2</v>
      </c>
      <c r="H660" t="s">
        <v>1</v>
      </c>
      <c r="I660" t="s">
        <v>16</v>
      </c>
      <c r="J660" t="s">
        <v>13</v>
      </c>
    </row>
    <row r="661" spans="1:10" x14ac:dyDescent="0.2">
      <c r="A661" t="s">
        <v>827</v>
      </c>
      <c r="B661">
        <v>0.69099999999999995</v>
      </c>
      <c r="C661">
        <f t="shared" si="20"/>
        <v>0.50107474370144889</v>
      </c>
      <c r="D661">
        <f t="shared" si="21"/>
        <v>1.3667121530309284E-3</v>
      </c>
      <c r="E661" t="s">
        <v>23</v>
      </c>
      <c r="F661" t="s">
        <v>688</v>
      </c>
      <c r="G661" t="s">
        <v>2</v>
      </c>
      <c r="H661" t="s">
        <v>1</v>
      </c>
      <c r="I661" t="s">
        <v>16</v>
      </c>
      <c r="J661" t="s">
        <v>13</v>
      </c>
    </row>
    <row r="662" spans="1:10" x14ac:dyDescent="0.2">
      <c r="A662" t="s">
        <v>903</v>
      </c>
      <c r="B662">
        <v>0</v>
      </c>
      <c r="C662">
        <f t="shared" si="20"/>
        <v>1</v>
      </c>
      <c r="D662">
        <f t="shared" si="21"/>
        <v>2.7275614470907055E-3</v>
      </c>
      <c r="E662" t="s">
        <v>22</v>
      </c>
      <c r="F662" t="s">
        <v>688</v>
      </c>
      <c r="G662" t="s">
        <v>2</v>
      </c>
      <c r="H662" t="s">
        <v>1</v>
      </c>
      <c r="I662" t="s">
        <v>16</v>
      </c>
      <c r="J662" t="s">
        <v>13</v>
      </c>
    </row>
    <row r="663" spans="1:10" x14ac:dyDescent="0.2">
      <c r="A663" t="s">
        <v>1004</v>
      </c>
      <c r="B663">
        <v>1.28</v>
      </c>
      <c r="C663">
        <f t="shared" si="20"/>
        <v>0.27803730045319414</v>
      </c>
      <c r="D663">
        <f t="shared" si="21"/>
        <v>7.5836382156930756E-4</v>
      </c>
      <c r="E663" t="s">
        <v>25</v>
      </c>
      <c r="F663" t="s">
        <v>688</v>
      </c>
      <c r="G663" t="s">
        <v>2</v>
      </c>
      <c r="H663" t="s">
        <v>1</v>
      </c>
      <c r="I663" t="s">
        <v>16</v>
      </c>
      <c r="J663" t="s">
        <v>13</v>
      </c>
    </row>
    <row r="664" spans="1:10" x14ac:dyDescent="0.2">
      <c r="A664" t="s">
        <v>1031</v>
      </c>
      <c r="B664">
        <v>0.45200000000000001</v>
      </c>
      <c r="C664">
        <f t="shared" si="20"/>
        <v>0.63635416972508707</v>
      </c>
      <c r="D664">
        <f t="shared" si="21"/>
        <v>1.7356951000375631E-3</v>
      </c>
      <c r="E664" t="s">
        <v>17</v>
      </c>
      <c r="F664" t="s">
        <v>688</v>
      </c>
      <c r="G664" t="s">
        <v>2</v>
      </c>
      <c r="H664" t="s">
        <v>1</v>
      </c>
      <c r="I664" t="s">
        <v>16</v>
      </c>
      <c r="J664" t="s">
        <v>13</v>
      </c>
    </row>
    <row r="665" spans="1:10" x14ac:dyDescent="0.2">
      <c r="A665" t="s">
        <v>748</v>
      </c>
      <c r="B665">
        <v>0.377</v>
      </c>
      <c r="C665">
        <f t="shared" si="20"/>
        <v>0.68591607389602016</v>
      </c>
      <c r="D665">
        <f t="shared" si="21"/>
        <v>1.8708782390986041E-3</v>
      </c>
      <c r="E665" t="s">
        <v>8</v>
      </c>
      <c r="F665" t="s">
        <v>688</v>
      </c>
      <c r="G665" t="s">
        <v>1</v>
      </c>
      <c r="H665" t="s">
        <v>1</v>
      </c>
      <c r="I665" t="s">
        <v>16</v>
      </c>
      <c r="J665" t="s">
        <v>13</v>
      </c>
    </row>
    <row r="666" spans="1:10" x14ac:dyDescent="0.2">
      <c r="A666" t="s">
        <v>828</v>
      </c>
      <c r="B666">
        <v>0.69099999999999995</v>
      </c>
      <c r="C666">
        <f t="shared" si="20"/>
        <v>0.50107474370144889</v>
      </c>
      <c r="D666">
        <f t="shared" si="21"/>
        <v>1.3667121530309284E-3</v>
      </c>
      <c r="E666" t="s">
        <v>23</v>
      </c>
      <c r="F666" t="s">
        <v>688</v>
      </c>
      <c r="G666" t="s">
        <v>1</v>
      </c>
      <c r="H666" t="s">
        <v>1</v>
      </c>
      <c r="I666" t="s">
        <v>16</v>
      </c>
      <c r="J666" t="s">
        <v>13</v>
      </c>
    </row>
    <row r="667" spans="1:10" x14ac:dyDescent="0.2">
      <c r="A667" t="s">
        <v>862</v>
      </c>
      <c r="B667">
        <v>0.85299999999999998</v>
      </c>
      <c r="C667">
        <f t="shared" si="20"/>
        <v>0.42613460859814872</v>
      </c>
      <c r="D667">
        <f t="shared" si="21"/>
        <v>1.1623083296833979E-3</v>
      </c>
      <c r="E667" t="s">
        <v>11</v>
      </c>
      <c r="F667" t="s">
        <v>688</v>
      </c>
      <c r="G667" t="s">
        <v>1</v>
      </c>
      <c r="H667" t="s">
        <v>1</v>
      </c>
      <c r="I667" t="s">
        <v>16</v>
      </c>
      <c r="J667" t="s">
        <v>13</v>
      </c>
    </row>
    <row r="668" spans="1:10" x14ac:dyDescent="0.2">
      <c r="A668" t="s">
        <v>970</v>
      </c>
      <c r="B668">
        <v>0.377</v>
      </c>
      <c r="C668">
        <f t="shared" si="20"/>
        <v>0.68591607389602016</v>
      </c>
      <c r="D668">
        <f t="shared" si="21"/>
        <v>1.8708782390986041E-3</v>
      </c>
      <c r="E668" t="s">
        <v>15</v>
      </c>
      <c r="F668" t="s">
        <v>688</v>
      </c>
      <c r="G668" t="s">
        <v>1</v>
      </c>
      <c r="H668" t="s">
        <v>1</v>
      </c>
      <c r="I668" t="s">
        <v>16</v>
      </c>
      <c r="J668" t="s">
        <v>13</v>
      </c>
    </row>
    <row r="669" spans="1:10" x14ac:dyDescent="0.2">
      <c r="A669" t="s">
        <v>987</v>
      </c>
      <c r="B669">
        <v>0</v>
      </c>
      <c r="C669">
        <f t="shared" si="20"/>
        <v>1</v>
      </c>
      <c r="D669">
        <f t="shared" si="21"/>
        <v>2.7275614470907055E-3</v>
      </c>
      <c r="E669" t="s">
        <v>16</v>
      </c>
      <c r="F669" t="s">
        <v>688</v>
      </c>
      <c r="G669" t="s">
        <v>1</v>
      </c>
      <c r="H669" t="s">
        <v>1</v>
      </c>
      <c r="I669" t="s">
        <v>16</v>
      </c>
      <c r="J669" t="s">
        <v>13</v>
      </c>
    </row>
    <row r="670" spans="1:10" x14ac:dyDescent="0.2">
      <c r="A670" t="s">
        <v>1005</v>
      </c>
      <c r="B670">
        <v>1.28</v>
      </c>
      <c r="C670">
        <f t="shared" si="20"/>
        <v>0.27803730045319414</v>
      </c>
      <c r="D670">
        <f t="shared" si="21"/>
        <v>7.5836382156930756E-4</v>
      </c>
      <c r="E670" t="s">
        <v>25</v>
      </c>
      <c r="F670" t="s">
        <v>688</v>
      </c>
      <c r="G670" t="s">
        <v>1</v>
      </c>
      <c r="H670" t="s">
        <v>1</v>
      </c>
      <c r="I670" t="s">
        <v>16</v>
      </c>
      <c r="J670" t="s">
        <v>13</v>
      </c>
    </row>
    <row r="671" spans="1:10" x14ac:dyDescent="0.2">
      <c r="A671" t="s">
        <v>1062</v>
      </c>
      <c r="B671">
        <v>2.99</v>
      </c>
      <c r="C671">
        <f t="shared" si="20"/>
        <v>5.0287436723591865E-2</v>
      </c>
      <c r="D671">
        <f t="shared" si="21"/>
        <v>1.3716207368028252E-4</v>
      </c>
      <c r="E671" t="s">
        <v>19</v>
      </c>
      <c r="F671" t="s">
        <v>688</v>
      </c>
      <c r="G671" t="s">
        <v>1</v>
      </c>
      <c r="H671" t="s">
        <v>1</v>
      </c>
      <c r="I671" t="s">
        <v>16</v>
      </c>
      <c r="J671" t="s">
        <v>13</v>
      </c>
    </row>
    <row r="672" spans="1:10" x14ac:dyDescent="0.2">
      <c r="A672" t="s">
        <v>1089</v>
      </c>
      <c r="B672">
        <v>0.65300000000000002</v>
      </c>
      <c r="C672">
        <f t="shared" si="20"/>
        <v>0.52048198628928322</v>
      </c>
      <c r="D672">
        <f t="shared" si="21"/>
        <v>1.4196465997078421E-3</v>
      </c>
      <c r="E672" t="s">
        <v>20</v>
      </c>
      <c r="F672" t="s">
        <v>688</v>
      </c>
      <c r="G672" t="s">
        <v>1</v>
      </c>
      <c r="H672" t="s">
        <v>1</v>
      </c>
      <c r="I672" t="s">
        <v>16</v>
      </c>
      <c r="J672" t="s">
        <v>13</v>
      </c>
    </row>
    <row r="673" spans="1:10" x14ac:dyDescent="0.2">
      <c r="A673" t="s">
        <v>749</v>
      </c>
      <c r="B673">
        <v>0.754</v>
      </c>
      <c r="C673">
        <f t="shared" si="20"/>
        <v>0.47048086042893056</v>
      </c>
      <c r="D673">
        <f t="shared" si="21"/>
        <v>1.2832654565000142E-3</v>
      </c>
      <c r="E673" t="s">
        <v>8</v>
      </c>
      <c r="F673" t="s">
        <v>688</v>
      </c>
      <c r="G673" t="s">
        <v>15</v>
      </c>
      <c r="H673" t="s">
        <v>1</v>
      </c>
      <c r="I673" t="s">
        <v>16</v>
      </c>
      <c r="J673" t="s">
        <v>13</v>
      </c>
    </row>
    <row r="674" spans="1:10" x14ac:dyDescent="0.2">
      <c r="A674" t="s">
        <v>785</v>
      </c>
      <c r="B674">
        <v>2.0209999999999999</v>
      </c>
      <c r="C674">
        <f t="shared" si="20"/>
        <v>0.13252287592067044</v>
      </c>
      <c r="D674">
        <f t="shared" si="21"/>
        <v>3.614642872188059E-4</v>
      </c>
      <c r="E674" t="s">
        <v>26</v>
      </c>
      <c r="F674" t="s">
        <v>688</v>
      </c>
      <c r="G674" t="s">
        <v>15</v>
      </c>
      <c r="H674" t="s">
        <v>1</v>
      </c>
      <c r="I674" t="s">
        <v>16</v>
      </c>
      <c r="J674" t="s">
        <v>13</v>
      </c>
    </row>
    <row r="675" spans="1:10" x14ac:dyDescent="0.2">
      <c r="A675" t="s">
        <v>829</v>
      </c>
      <c r="B675">
        <v>1.0680000000000001</v>
      </c>
      <c r="C675">
        <f t="shared" si="20"/>
        <v>0.34369522092815236</v>
      </c>
      <c r="D675">
        <f t="shared" si="21"/>
        <v>9.3744983415295106E-4</v>
      </c>
      <c r="E675" t="s">
        <v>23</v>
      </c>
      <c r="F675" t="s">
        <v>688</v>
      </c>
      <c r="G675" t="s">
        <v>15</v>
      </c>
      <c r="H675" t="s">
        <v>1</v>
      </c>
      <c r="I675" t="s">
        <v>16</v>
      </c>
      <c r="J675" t="s">
        <v>13</v>
      </c>
    </row>
    <row r="676" spans="1:10" x14ac:dyDescent="0.2">
      <c r="A676" t="s">
        <v>850</v>
      </c>
      <c r="B676">
        <v>0.377</v>
      </c>
      <c r="C676">
        <f t="shared" si="20"/>
        <v>0.68591607389602016</v>
      </c>
      <c r="D676">
        <f t="shared" si="21"/>
        <v>1.8708782390986041E-3</v>
      </c>
      <c r="E676" t="s">
        <v>10</v>
      </c>
      <c r="F676" t="s">
        <v>688</v>
      </c>
      <c r="G676" t="s">
        <v>15</v>
      </c>
      <c r="H676" t="s">
        <v>1</v>
      </c>
      <c r="I676" t="s">
        <v>16</v>
      </c>
      <c r="J676" t="s">
        <v>13</v>
      </c>
    </row>
    <row r="677" spans="1:10" x14ac:dyDescent="0.2">
      <c r="A677" t="s">
        <v>918</v>
      </c>
      <c r="B677">
        <v>0.377</v>
      </c>
      <c r="C677">
        <f t="shared" si="20"/>
        <v>0.68591607389602016</v>
      </c>
      <c r="D677">
        <f t="shared" si="21"/>
        <v>1.8708782390986041E-3</v>
      </c>
      <c r="E677" t="s">
        <v>13</v>
      </c>
      <c r="F677" t="s">
        <v>688</v>
      </c>
      <c r="G677" t="s">
        <v>15</v>
      </c>
      <c r="H677" t="s">
        <v>1</v>
      </c>
      <c r="I677" t="s">
        <v>16</v>
      </c>
      <c r="J677" t="s">
        <v>13</v>
      </c>
    </row>
    <row r="678" spans="1:10" x14ac:dyDescent="0.2">
      <c r="A678" t="s">
        <v>936</v>
      </c>
      <c r="B678">
        <v>0.377</v>
      </c>
      <c r="C678">
        <f t="shared" si="20"/>
        <v>0.68591607389602016</v>
      </c>
      <c r="D678">
        <f t="shared" si="21"/>
        <v>1.8708782390986041E-3</v>
      </c>
      <c r="E678" t="s">
        <v>2</v>
      </c>
      <c r="F678" t="s">
        <v>688</v>
      </c>
      <c r="G678" t="s">
        <v>15</v>
      </c>
      <c r="H678" t="s">
        <v>1</v>
      </c>
      <c r="I678" t="s">
        <v>16</v>
      </c>
      <c r="J678" t="s">
        <v>13</v>
      </c>
    </row>
    <row r="679" spans="1:10" x14ac:dyDescent="0.2">
      <c r="A679" t="s">
        <v>957</v>
      </c>
      <c r="B679">
        <v>0.377</v>
      </c>
      <c r="C679">
        <f t="shared" si="20"/>
        <v>0.68591607389602016</v>
      </c>
      <c r="D679">
        <f t="shared" si="21"/>
        <v>1.8708782390986041E-3</v>
      </c>
      <c r="E679" t="s">
        <v>1</v>
      </c>
      <c r="F679" t="s">
        <v>688</v>
      </c>
      <c r="G679" t="s">
        <v>15</v>
      </c>
      <c r="H679" t="s">
        <v>1</v>
      </c>
      <c r="I679" t="s">
        <v>16</v>
      </c>
      <c r="J679" t="s">
        <v>13</v>
      </c>
    </row>
    <row r="680" spans="1:10" x14ac:dyDescent="0.2">
      <c r="A680" t="s">
        <v>971</v>
      </c>
      <c r="B680">
        <v>0.754</v>
      </c>
      <c r="C680">
        <f t="shared" si="20"/>
        <v>0.47048086042893056</v>
      </c>
      <c r="D680">
        <f t="shared" si="21"/>
        <v>1.2832654565000142E-3</v>
      </c>
      <c r="E680" t="s">
        <v>15</v>
      </c>
      <c r="F680" t="s">
        <v>688</v>
      </c>
      <c r="G680" t="s">
        <v>15</v>
      </c>
      <c r="H680" t="s">
        <v>1</v>
      </c>
      <c r="I680" t="s">
        <v>16</v>
      </c>
      <c r="J680" t="s">
        <v>13</v>
      </c>
    </row>
    <row r="681" spans="1:10" x14ac:dyDescent="0.2">
      <c r="A681" t="s">
        <v>1006</v>
      </c>
      <c r="B681">
        <v>1.657</v>
      </c>
      <c r="C681">
        <f t="shared" si="20"/>
        <v>0.19071025352350304</v>
      </c>
      <c r="D681">
        <f t="shared" si="21"/>
        <v>5.2017393507560134E-4</v>
      </c>
      <c r="E681" t="s">
        <v>25</v>
      </c>
      <c r="F681" t="s">
        <v>688</v>
      </c>
      <c r="G681" t="s">
        <v>15</v>
      </c>
      <c r="H681" t="s">
        <v>1</v>
      </c>
      <c r="I681" t="s">
        <v>16</v>
      </c>
      <c r="J681" t="s">
        <v>13</v>
      </c>
    </row>
    <row r="682" spans="1:10" x14ac:dyDescent="0.2">
      <c r="A682" t="s">
        <v>1063</v>
      </c>
      <c r="B682">
        <v>3.367</v>
      </c>
      <c r="C682">
        <f t="shared" si="20"/>
        <v>3.4492961163740683E-2</v>
      </c>
      <c r="D682">
        <f t="shared" si="21"/>
        <v>9.4081671066216047E-5</v>
      </c>
      <c r="E682" t="s">
        <v>19</v>
      </c>
      <c r="F682" t="s">
        <v>688</v>
      </c>
      <c r="G682" t="s">
        <v>15</v>
      </c>
      <c r="H682" t="s">
        <v>1</v>
      </c>
      <c r="I682" t="s">
        <v>16</v>
      </c>
      <c r="J682" t="s">
        <v>13</v>
      </c>
    </row>
    <row r="683" spans="1:10" x14ac:dyDescent="0.2">
      <c r="A683" t="s">
        <v>1090</v>
      </c>
      <c r="B683">
        <v>1.03</v>
      </c>
      <c r="C683">
        <f t="shared" si="20"/>
        <v>0.35700696056914738</v>
      </c>
      <c r="D683">
        <f t="shared" si="21"/>
        <v>9.7375842199143813E-4</v>
      </c>
      <c r="E683" t="s">
        <v>20</v>
      </c>
      <c r="F683" t="s">
        <v>688</v>
      </c>
      <c r="G683" t="s">
        <v>15</v>
      </c>
      <c r="H683" t="s">
        <v>1</v>
      </c>
      <c r="I683" t="s">
        <v>16</v>
      </c>
      <c r="J683" t="s">
        <v>13</v>
      </c>
    </row>
    <row r="684" spans="1:10" x14ac:dyDescent="0.2">
      <c r="A684" t="s">
        <v>765</v>
      </c>
      <c r="B684">
        <v>0</v>
      </c>
      <c r="C684">
        <f t="shared" si="20"/>
        <v>1</v>
      </c>
      <c r="D684">
        <f t="shared" si="21"/>
        <v>2.7275614470907055E-3</v>
      </c>
      <c r="E684" t="s">
        <v>9</v>
      </c>
      <c r="F684" t="s">
        <v>688</v>
      </c>
      <c r="G684" t="s">
        <v>16</v>
      </c>
      <c r="H684" t="s">
        <v>1</v>
      </c>
      <c r="I684" t="s">
        <v>16</v>
      </c>
      <c r="J684" t="s">
        <v>13</v>
      </c>
    </row>
    <row r="685" spans="1:10" x14ac:dyDescent="0.2">
      <c r="A685" t="s">
        <v>786</v>
      </c>
      <c r="B685">
        <v>1.6439999999999999</v>
      </c>
      <c r="C685">
        <f t="shared" si="20"/>
        <v>0.1932056718950137</v>
      </c>
      <c r="D685">
        <f t="shared" si="21"/>
        <v>5.2698034202009565E-4</v>
      </c>
      <c r="E685" t="s">
        <v>26</v>
      </c>
      <c r="F685" t="s">
        <v>688</v>
      </c>
      <c r="G685" t="s">
        <v>16</v>
      </c>
      <c r="H685" t="s">
        <v>1</v>
      </c>
      <c r="I685" t="s">
        <v>16</v>
      </c>
      <c r="J685" t="s">
        <v>13</v>
      </c>
    </row>
    <row r="686" spans="1:10" x14ac:dyDescent="0.2">
      <c r="A686" t="s">
        <v>830</v>
      </c>
      <c r="B686">
        <v>0.69099999999999995</v>
      </c>
      <c r="C686">
        <f t="shared" si="20"/>
        <v>0.50107474370144889</v>
      </c>
      <c r="D686">
        <f t="shared" si="21"/>
        <v>1.3667121530309284E-3</v>
      </c>
      <c r="E686" t="s">
        <v>23</v>
      </c>
      <c r="F686" t="s">
        <v>688</v>
      </c>
      <c r="G686" t="s">
        <v>16</v>
      </c>
      <c r="H686" t="s">
        <v>1</v>
      </c>
      <c r="I686" t="s">
        <v>16</v>
      </c>
      <c r="J686" t="s">
        <v>13</v>
      </c>
    </row>
    <row r="687" spans="1:10" x14ac:dyDescent="0.2">
      <c r="A687" t="s">
        <v>863</v>
      </c>
      <c r="B687">
        <v>0.85299999999999998</v>
      </c>
      <c r="C687">
        <f t="shared" si="20"/>
        <v>0.42613460859814872</v>
      </c>
      <c r="D687">
        <f t="shared" si="21"/>
        <v>1.1623083296833979E-3</v>
      </c>
      <c r="E687" t="s">
        <v>11</v>
      </c>
      <c r="F687" t="s">
        <v>688</v>
      </c>
      <c r="G687" t="s">
        <v>16</v>
      </c>
      <c r="H687" t="s">
        <v>1</v>
      </c>
      <c r="I687" t="s">
        <v>16</v>
      </c>
      <c r="J687" t="s">
        <v>13</v>
      </c>
    </row>
    <row r="688" spans="1:10" x14ac:dyDescent="0.2">
      <c r="A688" t="s">
        <v>1007</v>
      </c>
      <c r="B688">
        <v>1.28</v>
      </c>
      <c r="C688">
        <f t="shared" si="20"/>
        <v>0.27803730045319414</v>
      </c>
      <c r="D688">
        <f t="shared" si="21"/>
        <v>7.5836382156930756E-4</v>
      </c>
      <c r="E688" t="s">
        <v>25</v>
      </c>
      <c r="F688" t="s">
        <v>688</v>
      </c>
      <c r="G688" t="s">
        <v>16</v>
      </c>
      <c r="H688" t="s">
        <v>1</v>
      </c>
      <c r="I688" t="s">
        <v>16</v>
      </c>
      <c r="J688" t="s">
        <v>13</v>
      </c>
    </row>
    <row r="689" spans="1:10" x14ac:dyDescent="0.2">
      <c r="A689" t="s">
        <v>1064</v>
      </c>
      <c r="B689">
        <v>2.99</v>
      </c>
      <c r="C689">
        <f t="shared" si="20"/>
        <v>5.0287436723591865E-2</v>
      </c>
      <c r="D689">
        <f t="shared" si="21"/>
        <v>1.3716207368028252E-4</v>
      </c>
      <c r="E689" t="s">
        <v>19</v>
      </c>
      <c r="F689" t="s">
        <v>688</v>
      </c>
      <c r="G689" t="s">
        <v>16</v>
      </c>
      <c r="H689" t="s">
        <v>1</v>
      </c>
      <c r="I689" t="s">
        <v>16</v>
      </c>
      <c r="J689" t="s">
        <v>13</v>
      </c>
    </row>
    <row r="690" spans="1:10" x14ac:dyDescent="0.2">
      <c r="A690" t="s">
        <v>1091</v>
      </c>
      <c r="B690">
        <v>0.65300000000000002</v>
      </c>
      <c r="C690">
        <f t="shared" si="20"/>
        <v>0.52048198628928322</v>
      </c>
      <c r="D690">
        <f t="shared" si="21"/>
        <v>1.4196465997078421E-3</v>
      </c>
      <c r="E690" t="s">
        <v>20</v>
      </c>
      <c r="F690" t="s">
        <v>688</v>
      </c>
      <c r="G690" t="s">
        <v>16</v>
      </c>
      <c r="H690" t="s">
        <v>1</v>
      </c>
      <c r="I690" t="s">
        <v>16</v>
      </c>
      <c r="J690" t="s">
        <v>13</v>
      </c>
    </row>
    <row r="691" spans="1:10" x14ac:dyDescent="0.2">
      <c r="A691" t="s">
        <v>730</v>
      </c>
      <c r="B691">
        <v>0.65</v>
      </c>
      <c r="C691">
        <f t="shared" si="20"/>
        <v>0.52204577676101604</v>
      </c>
      <c r="D691">
        <f t="shared" si="21"/>
        <v>1.4239119343098683E-3</v>
      </c>
      <c r="E691" t="s">
        <v>0</v>
      </c>
      <c r="F691" t="s">
        <v>688</v>
      </c>
      <c r="G691" t="s">
        <v>25</v>
      </c>
      <c r="H691" t="s">
        <v>1</v>
      </c>
      <c r="I691" t="s">
        <v>16</v>
      </c>
      <c r="J691" t="s">
        <v>13</v>
      </c>
    </row>
    <row r="692" spans="1:10" x14ac:dyDescent="0.2">
      <c r="A692" t="s">
        <v>750</v>
      </c>
      <c r="B692">
        <v>1.0269999999999999</v>
      </c>
      <c r="C692">
        <f t="shared" si="20"/>
        <v>0.35807958958991437</v>
      </c>
      <c r="D692">
        <f t="shared" si="21"/>
        <v>9.7668408355551278E-4</v>
      </c>
      <c r="E692" t="s">
        <v>8</v>
      </c>
      <c r="F692" t="s">
        <v>688</v>
      </c>
      <c r="G692" t="s">
        <v>25</v>
      </c>
      <c r="H692" t="s">
        <v>1</v>
      </c>
      <c r="I692" t="s">
        <v>16</v>
      </c>
      <c r="J692" t="s">
        <v>13</v>
      </c>
    </row>
    <row r="693" spans="1:10" x14ac:dyDescent="0.2">
      <c r="A693" t="s">
        <v>787</v>
      </c>
      <c r="B693">
        <v>2.294</v>
      </c>
      <c r="C693">
        <f t="shared" si="20"/>
        <v>0.10086220505906641</v>
      </c>
      <c r="D693">
        <f t="shared" si="21"/>
        <v>2.751078619876667E-4</v>
      </c>
      <c r="E693" t="s">
        <v>26</v>
      </c>
      <c r="F693" t="s">
        <v>688</v>
      </c>
      <c r="G693" t="s">
        <v>25</v>
      </c>
      <c r="H693" t="s">
        <v>1</v>
      </c>
      <c r="I693" t="s">
        <v>16</v>
      </c>
      <c r="J693" t="s">
        <v>13</v>
      </c>
    </row>
    <row r="694" spans="1:10" x14ac:dyDescent="0.2">
      <c r="A694" t="s">
        <v>831</v>
      </c>
      <c r="B694">
        <v>1.341</v>
      </c>
      <c r="C694">
        <f t="shared" si="20"/>
        <v>0.26158395379094995</v>
      </c>
      <c r="D694">
        <f t="shared" si="21"/>
        <v>7.1348630753775171E-4</v>
      </c>
      <c r="E694" t="s">
        <v>23</v>
      </c>
      <c r="F694" t="s">
        <v>688</v>
      </c>
      <c r="G694" t="s">
        <v>25</v>
      </c>
      <c r="H694" t="s">
        <v>1</v>
      </c>
      <c r="I694" t="s">
        <v>16</v>
      </c>
      <c r="J694" t="s">
        <v>13</v>
      </c>
    </row>
    <row r="695" spans="1:10" x14ac:dyDescent="0.2">
      <c r="A695" t="s">
        <v>851</v>
      </c>
      <c r="B695">
        <v>0.65</v>
      </c>
      <c r="C695">
        <f t="shared" si="20"/>
        <v>0.52204577676101604</v>
      </c>
      <c r="D695">
        <f t="shared" si="21"/>
        <v>1.4239119343098683E-3</v>
      </c>
      <c r="E695" t="s">
        <v>10</v>
      </c>
      <c r="F695" t="s">
        <v>688</v>
      </c>
      <c r="G695" t="s">
        <v>25</v>
      </c>
      <c r="H695" t="s">
        <v>1</v>
      </c>
      <c r="I695" t="s">
        <v>16</v>
      </c>
      <c r="J695" t="s">
        <v>13</v>
      </c>
    </row>
    <row r="696" spans="1:10" x14ac:dyDescent="0.2">
      <c r="A696" t="s">
        <v>864</v>
      </c>
      <c r="B696">
        <v>1.502</v>
      </c>
      <c r="C696">
        <f t="shared" si="20"/>
        <v>0.22268434579109508</v>
      </c>
      <c r="D696">
        <f t="shared" si="21"/>
        <v>6.0738523645040635E-4</v>
      </c>
      <c r="E696" t="s">
        <v>11</v>
      </c>
      <c r="F696" t="s">
        <v>688</v>
      </c>
      <c r="G696" t="s">
        <v>25</v>
      </c>
      <c r="H696" t="s">
        <v>1</v>
      </c>
      <c r="I696" t="s">
        <v>16</v>
      </c>
      <c r="J696" t="s">
        <v>13</v>
      </c>
    </row>
    <row r="697" spans="1:10" x14ac:dyDescent="0.2">
      <c r="A697" t="s">
        <v>883</v>
      </c>
      <c r="B697">
        <v>0.65</v>
      </c>
      <c r="C697">
        <f t="shared" si="20"/>
        <v>0.52204577676101604</v>
      </c>
      <c r="D697">
        <f t="shared" si="21"/>
        <v>1.4239119343098683E-3</v>
      </c>
      <c r="E697" t="s">
        <v>12</v>
      </c>
      <c r="F697" t="s">
        <v>688</v>
      </c>
      <c r="G697" t="s">
        <v>25</v>
      </c>
      <c r="H697" t="s">
        <v>1</v>
      </c>
      <c r="I697" t="s">
        <v>16</v>
      </c>
      <c r="J697" t="s">
        <v>13</v>
      </c>
    </row>
    <row r="698" spans="1:10" x14ac:dyDescent="0.2">
      <c r="A698" t="s">
        <v>897</v>
      </c>
      <c r="B698">
        <v>0.65</v>
      </c>
      <c r="C698">
        <f t="shared" si="20"/>
        <v>0.52204577676101604</v>
      </c>
      <c r="D698">
        <f t="shared" si="21"/>
        <v>1.4239119343098683E-3</v>
      </c>
      <c r="E698" t="s">
        <v>5</v>
      </c>
      <c r="F698" t="s">
        <v>688</v>
      </c>
      <c r="G698" t="s">
        <v>25</v>
      </c>
      <c r="H698" t="s">
        <v>1</v>
      </c>
      <c r="I698" t="s">
        <v>16</v>
      </c>
      <c r="J698" t="s">
        <v>13</v>
      </c>
    </row>
    <row r="699" spans="1:10" x14ac:dyDescent="0.2">
      <c r="A699" t="s">
        <v>919</v>
      </c>
      <c r="B699">
        <v>0.65</v>
      </c>
      <c r="C699">
        <f t="shared" si="20"/>
        <v>0.52204577676101604</v>
      </c>
      <c r="D699">
        <f t="shared" si="21"/>
        <v>1.4239119343098683E-3</v>
      </c>
      <c r="E699" t="s">
        <v>13</v>
      </c>
      <c r="F699" t="s">
        <v>688</v>
      </c>
      <c r="G699" t="s">
        <v>25</v>
      </c>
      <c r="H699" t="s">
        <v>1</v>
      </c>
      <c r="I699" t="s">
        <v>16</v>
      </c>
      <c r="J699" t="s">
        <v>13</v>
      </c>
    </row>
    <row r="700" spans="1:10" x14ac:dyDescent="0.2">
      <c r="A700" t="s">
        <v>972</v>
      </c>
      <c r="B700">
        <v>1.0269999999999999</v>
      </c>
      <c r="C700">
        <f t="shared" si="20"/>
        <v>0.35807958958991437</v>
      </c>
      <c r="D700">
        <f t="shared" si="21"/>
        <v>9.7668408355551278E-4</v>
      </c>
      <c r="E700" t="s">
        <v>15</v>
      </c>
      <c r="F700" t="s">
        <v>688</v>
      </c>
      <c r="G700" t="s">
        <v>25</v>
      </c>
      <c r="H700" t="s">
        <v>1</v>
      </c>
      <c r="I700" t="s">
        <v>16</v>
      </c>
      <c r="J700" t="s">
        <v>13</v>
      </c>
    </row>
    <row r="701" spans="1:10" x14ac:dyDescent="0.2">
      <c r="A701" t="s">
        <v>988</v>
      </c>
      <c r="B701">
        <v>0.65</v>
      </c>
      <c r="C701">
        <f t="shared" si="20"/>
        <v>0.52204577676101604</v>
      </c>
      <c r="D701">
        <f t="shared" si="21"/>
        <v>1.4239119343098683E-3</v>
      </c>
      <c r="E701" t="s">
        <v>16</v>
      </c>
      <c r="F701" t="s">
        <v>688</v>
      </c>
      <c r="G701" t="s">
        <v>25</v>
      </c>
      <c r="H701" t="s">
        <v>1</v>
      </c>
      <c r="I701" t="s">
        <v>16</v>
      </c>
      <c r="J701" t="s">
        <v>13</v>
      </c>
    </row>
    <row r="702" spans="1:10" x14ac:dyDescent="0.2">
      <c r="A702" t="s">
        <v>1008</v>
      </c>
      <c r="B702">
        <v>1.93</v>
      </c>
      <c r="C702">
        <f t="shared" si="20"/>
        <v>0.14514819848362373</v>
      </c>
      <c r="D702">
        <f t="shared" si="21"/>
        <v>3.959006302986017E-4</v>
      </c>
      <c r="E702" t="s">
        <v>25</v>
      </c>
      <c r="F702" t="s">
        <v>688</v>
      </c>
      <c r="G702" t="s">
        <v>25</v>
      </c>
      <c r="H702" t="s">
        <v>1</v>
      </c>
      <c r="I702" t="s">
        <v>16</v>
      </c>
      <c r="J702" t="s">
        <v>13</v>
      </c>
    </row>
    <row r="703" spans="1:10" x14ac:dyDescent="0.2">
      <c r="A703" t="s">
        <v>1032</v>
      </c>
      <c r="B703">
        <v>1.101</v>
      </c>
      <c r="C703">
        <f t="shared" si="20"/>
        <v>0.33253837899445871</v>
      </c>
      <c r="D703">
        <f t="shared" si="21"/>
        <v>9.0701886222332333E-4</v>
      </c>
      <c r="E703" t="s">
        <v>17</v>
      </c>
      <c r="F703" t="s">
        <v>688</v>
      </c>
      <c r="G703" t="s">
        <v>25</v>
      </c>
      <c r="H703" t="s">
        <v>1</v>
      </c>
      <c r="I703" t="s">
        <v>16</v>
      </c>
      <c r="J703" t="s">
        <v>13</v>
      </c>
    </row>
    <row r="704" spans="1:10" x14ac:dyDescent="0.2">
      <c r="A704" t="s">
        <v>1065</v>
      </c>
      <c r="B704">
        <v>3.6389999999999998</v>
      </c>
      <c r="C704">
        <f t="shared" si="20"/>
        <v>2.6278609440202126E-2</v>
      </c>
      <c r="D704">
        <f t="shared" si="21"/>
        <v>7.1676521992249185E-5</v>
      </c>
      <c r="E704" t="s">
        <v>19</v>
      </c>
      <c r="F704" t="s">
        <v>688</v>
      </c>
      <c r="G704" t="s">
        <v>25</v>
      </c>
      <c r="H704" t="s">
        <v>1</v>
      </c>
      <c r="I704" t="s">
        <v>16</v>
      </c>
      <c r="J704" t="s">
        <v>13</v>
      </c>
    </row>
    <row r="705" spans="1:10" x14ac:dyDescent="0.2">
      <c r="A705" t="s">
        <v>1092</v>
      </c>
      <c r="B705">
        <v>1.302</v>
      </c>
      <c r="C705">
        <f t="shared" si="20"/>
        <v>0.27198727414833651</v>
      </c>
      <c r="D705">
        <f t="shared" si="21"/>
        <v>7.4186200306629324E-4</v>
      </c>
      <c r="E705" t="s">
        <v>20</v>
      </c>
      <c r="F705" t="s">
        <v>688</v>
      </c>
      <c r="G705" t="s">
        <v>25</v>
      </c>
      <c r="H705" t="s">
        <v>1</v>
      </c>
      <c r="I705" t="s">
        <v>16</v>
      </c>
      <c r="J705" t="s">
        <v>13</v>
      </c>
    </row>
  </sheetData>
  <sortState xmlns:xlrd2="http://schemas.microsoft.com/office/spreadsheetml/2017/richdata2" ref="A2:J708">
    <sortCondition descending="1" ref="J2:J708"/>
  </sortState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6"/>
  <sheetViews>
    <sheetView zoomScale="115" zoomScaleNormal="130" workbookViewId="0">
      <pane ySplit="3" topLeftCell="A4" activePane="bottomLeft" state="frozen"/>
      <selection pane="bottomLeft" sqref="A1:A1048576"/>
    </sheetView>
  </sheetViews>
  <sheetFormatPr baseColWidth="10" defaultRowHeight="16" x14ac:dyDescent="0.2"/>
  <cols>
    <col min="6" max="6" width="3.6640625" bestFit="1" customWidth="1"/>
    <col min="7" max="7" width="3" bestFit="1" customWidth="1"/>
    <col min="8" max="8" width="3.6640625" bestFit="1" customWidth="1"/>
    <col min="9" max="9" width="4" customWidth="1"/>
    <col min="10" max="10" width="4.83203125" customWidth="1"/>
    <col min="11" max="11" width="15.6640625" customWidth="1"/>
    <col min="12" max="12" width="21.1640625" customWidth="1"/>
    <col min="13" max="13" width="4.6640625" customWidth="1"/>
    <col min="14" max="14" width="5.33203125" customWidth="1"/>
  </cols>
  <sheetData>
    <row r="1" spans="1:10" x14ac:dyDescent="0.2">
      <c r="B1" t="s">
        <v>725</v>
      </c>
      <c r="C1" t="s">
        <v>726</v>
      </c>
    </row>
    <row r="2" spans="1:10" x14ac:dyDescent="0.2">
      <c r="A2" t="s">
        <v>50</v>
      </c>
      <c r="B2">
        <v>0.16400000000000001</v>
      </c>
      <c r="C2">
        <f t="shared" ref="C2:C65" si="0">EXP(-B2)</f>
        <v>0.84874202188020675</v>
      </c>
      <c r="F2" t="s">
        <v>0</v>
      </c>
      <c r="G2" t="s">
        <v>689</v>
      </c>
      <c r="H2" t="s">
        <v>9</v>
      </c>
      <c r="I2" t="s">
        <v>5</v>
      </c>
      <c r="J2" t="s">
        <v>9</v>
      </c>
    </row>
    <row r="3" spans="1:10" x14ac:dyDescent="0.2">
      <c r="A3" t="s">
        <v>55</v>
      </c>
      <c r="B3">
        <v>0.32800000000000001</v>
      </c>
      <c r="C3">
        <f t="shared" si="0"/>
        <v>0.72036301970530137</v>
      </c>
      <c r="F3" t="s">
        <v>0</v>
      </c>
      <c r="G3" t="s">
        <v>689</v>
      </c>
      <c r="H3" t="s">
        <v>17</v>
      </c>
      <c r="I3" t="s">
        <v>5</v>
      </c>
      <c r="J3" t="s">
        <v>9</v>
      </c>
    </row>
    <row r="4" spans="1:10" x14ac:dyDescent="0.2">
      <c r="A4" t="s">
        <v>56</v>
      </c>
      <c r="B4">
        <v>0.16400000000000001</v>
      </c>
      <c r="C4">
        <f t="shared" si="0"/>
        <v>0.84874202188020675</v>
      </c>
      <c r="F4" t="s">
        <v>0</v>
      </c>
      <c r="G4" t="s">
        <v>689</v>
      </c>
      <c r="H4" t="s">
        <v>20</v>
      </c>
      <c r="I4" t="s">
        <v>5</v>
      </c>
      <c r="J4" t="s">
        <v>9</v>
      </c>
    </row>
    <row r="5" spans="1:10" x14ac:dyDescent="0.2">
      <c r="A5" t="s">
        <v>66</v>
      </c>
      <c r="B5">
        <v>0</v>
      </c>
      <c r="C5">
        <f t="shared" si="0"/>
        <v>1</v>
      </c>
      <c r="F5" t="s">
        <v>8</v>
      </c>
      <c r="G5" t="s">
        <v>689</v>
      </c>
      <c r="H5" t="s">
        <v>20</v>
      </c>
      <c r="I5" t="s">
        <v>5</v>
      </c>
      <c r="J5" t="s">
        <v>9</v>
      </c>
    </row>
    <row r="6" spans="1:10" x14ac:dyDescent="0.2">
      <c r="A6" t="s">
        <v>77</v>
      </c>
      <c r="B6">
        <v>0.16400000000000001</v>
      </c>
      <c r="C6">
        <f t="shared" si="0"/>
        <v>0.84874202188020675</v>
      </c>
      <c r="F6" t="s">
        <v>9</v>
      </c>
      <c r="G6" t="s">
        <v>689</v>
      </c>
      <c r="H6" t="s">
        <v>0</v>
      </c>
      <c r="I6" t="s">
        <v>5</v>
      </c>
      <c r="J6" t="s">
        <v>9</v>
      </c>
    </row>
    <row r="7" spans="1:10" x14ac:dyDescent="0.2">
      <c r="A7" t="s">
        <v>79</v>
      </c>
      <c r="B7">
        <v>0</v>
      </c>
      <c r="C7">
        <f t="shared" si="0"/>
        <v>1</v>
      </c>
      <c r="F7" t="s">
        <v>9</v>
      </c>
      <c r="G7" t="s">
        <v>689</v>
      </c>
      <c r="H7" t="s">
        <v>9</v>
      </c>
      <c r="I7" t="s">
        <v>5</v>
      </c>
      <c r="J7" t="s">
        <v>9</v>
      </c>
    </row>
    <row r="8" spans="1:10" x14ac:dyDescent="0.2">
      <c r="A8" t="s">
        <v>80</v>
      </c>
      <c r="B8">
        <v>0</v>
      </c>
      <c r="C8">
        <f t="shared" si="0"/>
        <v>1</v>
      </c>
      <c r="F8" t="s">
        <v>9</v>
      </c>
      <c r="G8" t="s">
        <v>689</v>
      </c>
      <c r="H8" t="s">
        <v>23</v>
      </c>
      <c r="I8" t="s">
        <v>5</v>
      </c>
      <c r="J8" t="s">
        <v>9</v>
      </c>
    </row>
    <row r="9" spans="1:10" x14ac:dyDescent="0.2">
      <c r="A9" t="s">
        <v>85</v>
      </c>
      <c r="B9">
        <v>0</v>
      </c>
      <c r="C9">
        <f t="shared" si="0"/>
        <v>1</v>
      </c>
      <c r="F9" t="s">
        <v>9</v>
      </c>
      <c r="G9" t="s">
        <v>689</v>
      </c>
      <c r="H9" t="s">
        <v>20</v>
      </c>
      <c r="I9" t="s">
        <v>5</v>
      </c>
      <c r="J9" t="s">
        <v>9</v>
      </c>
    </row>
    <row r="10" spans="1:10" x14ac:dyDescent="0.2">
      <c r="A10" t="s">
        <v>87</v>
      </c>
      <c r="B10">
        <v>1.9379999999999999</v>
      </c>
      <c r="C10">
        <f t="shared" si="0"/>
        <v>0.14399164527685901</v>
      </c>
      <c r="F10" t="s">
        <v>26</v>
      </c>
      <c r="G10" t="s">
        <v>689</v>
      </c>
      <c r="H10" t="s">
        <v>20</v>
      </c>
      <c r="I10" t="s">
        <v>5</v>
      </c>
      <c r="J10" t="s">
        <v>9</v>
      </c>
    </row>
    <row r="11" spans="1:10" x14ac:dyDescent="0.2">
      <c r="A11" t="s">
        <v>96</v>
      </c>
      <c r="B11">
        <v>0</v>
      </c>
      <c r="C11">
        <f t="shared" si="0"/>
        <v>1</v>
      </c>
      <c r="F11" t="s">
        <v>24</v>
      </c>
      <c r="G11" t="s">
        <v>689</v>
      </c>
      <c r="H11" t="s">
        <v>9</v>
      </c>
      <c r="I11" t="s">
        <v>5</v>
      </c>
      <c r="J11" t="s">
        <v>9</v>
      </c>
    </row>
    <row r="12" spans="1:10" x14ac:dyDescent="0.2">
      <c r="A12" t="s">
        <v>98</v>
      </c>
      <c r="B12">
        <v>0</v>
      </c>
      <c r="C12">
        <f t="shared" si="0"/>
        <v>1</v>
      </c>
      <c r="F12" t="s">
        <v>24</v>
      </c>
      <c r="G12" t="s">
        <v>689</v>
      </c>
      <c r="H12" t="s">
        <v>23</v>
      </c>
      <c r="I12" t="s">
        <v>5</v>
      </c>
      <c r="J12" t="s">
        <v>9</v>
      </c>
    </row>
    <row r="13" spans="1:10" x14ac:dyDescent="0.2">
      <c r="A13" t="s">
        <v>99</v>
      </c>
      <c r="B13">
        <v>0.79100000000000004</v>
      </c>
      <c r="C13">
        <f t="shared" si="0"/>
        <v>0.4533911773338492</v>
      </c>
      <c r="F13" t="s">
        <v>24</v>
      </c>
      <c r="G13" t="s">
        <v>689</v>
      </c>
      <c r="H13" t="s">
        <v>11</v>
      </c>
      <c r="I13" t="s">
        <v>5</v>
      </c>
      <c r="J13" t="s">
        <v>9</v>
      </c>
    </row>
    <row r="14" spans="1:10" x14ac:dyDescent="0.2">
      <c r="A14" t="s">
        <v>103</v>
      </c>
      <c r="B14">
        <v>0</v>
      </c>
      <c r="C14">
        <f t="shared" si="0"/>
        <v>1</v>
      </c>
      <c r="F14" t="s">
        <v>24</v>
      </c>
      <c r="G14" t="s">
        <v>689</v>
      </c>
      <c r="H14" t="s">
        <v>20</v>
      </c>
      <c r="I14" t="s">
        <v>5</v>
      </c>
      <c r="J14" t="s">
        <v>9</v>
      </c>
    </row>
    <row r="15" spans="1:10" x14ac:dyDescent="0.2">
      <c r="A15" t="s">
        <v>108</v>
      </c>
      <c r="B15">
        <v>0.66700000000000004</v>
      </c>
      <c r="C15">
        <f t="shared" si="0"/>
        <v>0.51324600851291879</v>
      </c>
      <c r="F15" t="s">
        <v>23</v>
      </c>
      <c r="G15" t="s">
        <v>689</v>
      </c>
      <c r="H15" t="s">
        <v>9</v>
      </c>
      <c r="I15" t="s">
        <v>5</v>
      </c>
      <c r="J15" t="s">
        <v>9</v>
      </c>
    </row>
    <row r="16" spans="1:10" x14ac:dyDescent="0.2">
      <c r="A16" t="s">
        <v>112</v>
      </c>
      <c r="B16">
        <v>0.66700000000000004</v>
      </c>
      <c r="C16">
        <f t="shared" si="0"/>
        <v>0.51324600851291879</v>
      </c>
      <c r="F16" t="s">
        <v>23</v>
      </c>
      <c r="G16" t="s">
        <v>689</v>
      </c>
      <c r="H16" t="s">
        <v>20</v>
      </c>
      <c r="I16" t="s">
        <v>5</v>
      </c>
      <c r="J16" t="s">
        <v>9</v>
      </c>
    </row>
    <row r="17" spans="1:10" x14ac:dyDescent="0.2">
      <c r="A17" t="s">
        <v>120</v>
      </c>
      <c r="B17">
        <v>0.16400000000000001</v>
      </c>
      <c r="C17">
        <f t="shared" si="0"/>
        <v>0.84874202188020675</v>
      </c>
      <c r="F17" t="s">
        <v>10</v>
      </c>
      <c r="G17" t="s">
        <v>689</v>
      </c>
      <c r="H17" t="s">
        <v>0</v>
      </c>
      <c r="I17" t="s">
        <v>5</v>
      </c>
      <c r="J17" t="s">
        <v>9</v>
      </c>
    </row>
    <row r="18" spans="1:10" x14ac:dyDescent="0.2">
      <c r="A18" t="s">
        <v>121</v>
      </c>
      <c r="B18">
        <v>0</v>
      </c>
      <c r="C18">
        <f t="shared" si="0"/>
        <v>1</v>
      </c>
      <c r="F18" t="s">
        <v>10</v>
      </c>
      <c r="G18" t="s">
        <v>689</v>
      </c>
      <c r="H18" t="s">
        <v>9</v>
      </c>
      <c r="I18" t="s">
        <v>5</v>
      </c>
      <c r="J18" t="s">
        <v>9</v>
      </c>
    </row>
    <row r="19" spans="1:10" x14ac:dyDescent="0.2">
      <c r="A19" t="s">
        <v>122</v>
      </c>
      <c r="B19">
        <v>0</v>
      </c>
      <c r="C19">
        <f t="shared" si="0"/>
        <v>1</v>
      </c>
      <c r="F19" t="s">
        <v>10</v>
      </c>
      <c r="G19" t="s">
        <v>689</v>
      </c>
      <c r="H19" t="s">
        <v>23</v>
      </c>
      <c r="I19" t="s">
        <v>5</v>
      </c>
      <c r="J19" t="s">
        <v>9</v>
      </c>
    </row>
    <row r="20" spans="1:10" x14ac:dyDescent="0.2">
      <c r="A20" t="s">
        <v>123</v>
      </c>
      <c r="B20">
        <v>0.79100000000000004</v>
      </c>
      <c r="C20">
        <f t="shared" si="0"/>
        <v>0.4533911773338492</v>
      </c>
      <c r="F20" t="s">
        <v>10</v>
      </c>
      <c r="G20" t="s">
        <v>689</v>
      </c>
      <c r="H20" t="s">
        <v>11</v>
      </c>
      <c r="I20" t="s">
        <v>5</v>
      </c>
      <c r="J20" t="s">
        <v>9</v>
      </c>
    </row>
    <row r="21" spans="1:10" x14ac:dyDescent="0.2">
      <c r="A21" t="s">
        <v>130</v>
      </c>
      <c r="B21">
        <v>0.16400000000000001</v>
      </c>
      <c r="C21">
        <f t="shared" si="0"/>
        <v>0.84874202188020675</v>
      </c>
      <c r="F21" t="s">
        <v>10</v>
      </c>
      <c r="G21" t="s">
        <v>689</v>
      </c>
      <c r="H21" t="s">
        <v>17</v>
      </c>
      <c r="I21" t="s">
        <v>5</v>
      </c>
      <c r="J21" t="s">
        <v>9</v>
      </c>
    </row>
    <row r="22" spans="1:10" x14ac:dyDescent="0.2">
      <c r="A22" t="s">
        <v>131</v>
      </c>
      <c r="B22">
        <v>0</v>
      </c>
      <c r="C22">
        <f t="shared" si="0"/>
        <v>1</v>
      </c>
      <c r="F22" t="s">
        <v>10</v>
      </c>
      <c r="G22" t="s">
        <v>689</v>
      </c>
      <c r="H22" t="s">
        <v>20</v>
      </c>
      <c r="I22" t="s">
        <v>5</v>
      </c>
      <c r="J22" t="s">
        <v>9</v>
      </c>
    </row>
    <row r="23" spans="1:10" x14ac:dyDescent="0.2">
      <c r="A23" t="s">
        <v>141</v>
      </c>
      <c r="B23">
        <v>0.79100000000000004</v>
      </c>
      <c r="C23">
        <f t="shared" si="0"/>
        <v>0.4533911773338492</v>
      </c>
      <c r="F23" t="s">
        <v>11</v>
      </c>
      <c r="G23" t="s">
        <v>689</v>
      </c>
      <c r="H23" t="s">
        <v>20</v>
      </c>
      <c r="I23" t="s">
        <v>5</v>
      </c>
      <c r="J23" t="s">
        <v>9</v>
      </c>
    </row>
    <row r="24" spans="1:10" x14ac:dyDescent="0.2">
      <c r="A24" t="s">
        <v>152</v>
      </c>
      <c r="B24">
        <v>0</v>
      </c>
      <c r="C24">
        <f t="shared" si="0"/>
        <v>1</v>
      </c>
      <c r="F24" t="s">
        <v>12</v>
      </c>
      <c r="G24" t="s">
        <v>689</v>
      </c>
      <c r="H24" t="s">
        <v>9</v>
      </c>
      <c r="I24" t="s">
        <v>5</v>
      </c>
      <c r="J24" t="s">
        <v>9</v>
      </c>
    </row>
    <row r="25" spans="1:10" x14ac:dyDescent="0.2">
      <c r="A25" t="s">
        <v>159</v>
      </c>
      <c r="B25">
        <v>0</v>
      </c>
      <c r="C25">
        <f t="shared" si="0"/>
        <v>1</v>
      </c>
      <c r="F25" t="s">
        <v>12</v>
      </c>
      <c r="G25" t="s">
        <v>689</v>
      </c>
      <c r="H25" t="s">
        <v>20</v>
      </c>
      <c r="I25" t="s">
        <v>5</v>
      </c>
      <c r="J25" t="s">
        <v>9</v>
      </c>
    </row>
    <row r="26" spans="1:10" x14ac:dyDescent="0.2">
      <c r="A26" t="s">
        <v>171</v>
      </c>
      <c r="B26">
        <v>0.16400000000000001</v>
      </c>
      <c r="C26">
        <f t="shared" si="0"/>
        <v>0.84874202188020675</v>
      </c>
      <c r="F26" t="s">
        <v>5</v>
      </c>
      <c r="G26" t="s">
        <v>689</v>
      </c>
      <c r="H26" t="s">
        <v>0</v>
      </c>
      <c r="I26" t="s">
        <v>5</v>
      </c>
      <c r="J26" t="s">
        <v>9</v>
      </c>
    </row>
    <row r="27" spans="1:10" x14ac:dyDescent="0.2">
      <c r="A27" t="s">
        <v>173</v>
      </c>
      <c r="B27">
        <v>0</v>
      </c>
      <c r="C27">
        <f t="shared" si="0"/>
        <v>1</v>
      </c>
      <c r="F27" t="s">
        <v>5</v>
      </c>
      <c r="G27" t="s">
        <v>689</v>
      </c>
      <c r="H27" t="s">
        <v>9</v>
      </c>
      <c r="I27" t="s">
        <v>5</v>
      </c>
      <c r="J27" t="s">
        <v>9</v>
      </c>
    </row>
    <row r="28" spans="1:10" x14ac:dyDescent="0.2">
      <c r="A28" t="s">
        <v>175</v>
      </c>
      <c r="B28">
        <v>0</v>
      </c>
      <c r="C28">
        <f t="shared" si="0"/>
        <v>1</v>
      </c>
      <c r="F28" t="s">
        <v>5</v>
      </c>
      <c r="G28" t="s">
        <v>689</v>
      </c>
      <c r="H28" t="s">
        <v>23</v>
      </c>
      <c r="I28" t="s">
        <v>5</v>
      </c>
      <c r="J28" t="s">
        <v>9</v>
      </c>
    </row>
    <row r="29" spans="1:10" x14ac:dyDescent="0.2">
      <c r="A29" t="s">
        <v>176</v>
      </c>
      <c r="B29">
        <v>0.79100000000000004</v>
      </c>
      <c r="C29">
        <f t="shared" si="0"/>
        <v>0.4533911773338492</v>
      </c>
      <c r="F29" t="s">
        <v>5</v>
      </c>
      <c r="G29" t="s">
        <v>689</v>
      </c>
      <c r="H29" t="s">
        <v>11</v>
      </c>
      <c r="I29" t="s">
        <v>5</v>
      </c>
      <c r="J29" t="s">
        <v>9</v>
      </c>
    </row>
    <row r="30" spans="1:10" x14ac:dyDescent="0.2">
      <c r="A30" t="s">
        <v>183</v>
      </c>
      <c r="B30">
        <v>0.16400000000000001</v>
      </c>
      <c r="C30">
        <f t="shared" si="0"/>
        <v>0.84874202188020675</v>
      </c>
      <c r="F30" t="s">
        <v>5</v>
      </c>
      <c r="G30" t="s">
        <v>689</v>
      </c>
      <c r="H30" t="s">
        <v>17</v>
      </c>
      <c r="I30" t="s">
        <v>5</v>
      </c>
      <c r="J30" t="s">
        <v>9</v>
      </c>
    </row>
    <row r="31" spans="1:10" x14ac:dyDescent="0.2">
      <c r="A31" t="s">
        <v>184</v>
      </c>
      <c r="B31">
        <v>0</v>
      </c>
      <c r="C31">
        <f t="shared" si="0"/>
        <v>1</v>
      </c>
      <c r="F31" t="s">
        <v>5</v>
      </c>
      <c r="G31" t="s">
        <v>689</v>
      </c>
      <c r="H31" t="s">
        <v>20</v>
      </c>
      <c r="I31" t="s">
        <v>5</v>
      </c>
      <c r="J31" t="s">
        <v>9</v>
      </c>
    </row>
    <row r="32" spans="1:10" x14ac:dyDescent="0.2">
      <c r="A32" t="s">
        <v>197</v>
      </c>
      <c r="B32">
        <v>0</v>
      </c>
      <c r="C32">
        <f t="shared" si="0"/>
        <v>1</v>
      </c>
      <c r="F32" t="s">
        <v>22</v>
      </c>
      <c r="G32" t="s">
        <v>689</v>
      </c>
      <c r="H32" t="s">
        <v>9</v>
      </c>
      <c r="I32" t="s">
        <v>5</v>
      </c>
      <c r="J32" t="s">
        <v>9</v>
      </c>
    </row>
    <row r="33" spans="1:10" x14ac:dyDescent="0.2">
      <c r="A33" t="s">
        <v>202</v>
      </c>
      <c r="B33">
        <v>0.16400000000000001</v>
      </c>
      <c r="C33">
        <f t="shared" si="0"/>
        <v>0.84874202188020675</v>
      </c>
      <c r="F33" t="s">
        <v>22</v>
      </c>
      <c r="G33" t="s">
        <v>689</v>
      </c>
      <c r="H33" t="s">
        <v>17</v>
      </c>
      <c r="I33" t="s">
        <v>5</v>
      </c>
      <c r="J33" t="s">
        <v>9</v>
      </c>
    </row>
    <row r="34" spans="1:10" x14ac:dyDescent="0.2">
      <c r="A34" t="s">
        <v>203</v>
      </c>
      <c r="B34">
        <v>0</v>
      </c>
      <c r="C34">
        <f t="shared" si="0"/>
        <v>1</v>
      </c>
      <c r="F34" t="s">
        <v>22</v>
      </c>
      <c r="G34" t="s">
        <v>689</v>
      </c>
      <c r="H34" t="s">
        <v>20</v>
      </c>
      <c r="I34" t="s">
        <v>5</v>
      </c>
      <c r="J34" t="s">
        <v>9</v>
      </c>
    </row>
    <row r="35" spans="1:10" x14ac:dyDescent="0.2">
      <c r="A35" t="s">
        <v>211</v>
      </c>
      <c r="B35">
        <v>0.16400000000000001</v>
      </c>
      <c r="C35">
        <f t="shared" si="0"/>
        <v>0.84874202188020675</v>
      </c>
      <c r="F35" t="s">
        <v>13</v>
      </c>
      <c r="G35" t="s">
        <v>689</v>
      </c>
      <c r="H35" t="s">
        <v>0</v>
      </c>
      <c r="I35" t="s">
        <v>5</v>
      </c>
      <c r="J35" t="s">
        <v>9</v>
      </c>
    </row>
    <row r="36" spans="1:10" x14ac:dyDescent="0.2">
      <c r="A36" t="s">
        <v>212</v>
      </c>
      <c r="B36">
        <v>0</v>
      </c>
      <c r="C36">
        <f t="shared" si="0"/>
        <v>1</v>
      </c>
      <c r="F36" t="s">
        <v>13</v>
      </c>
      <c r="G36" t="s">
        <v>689</v>
      </c>
      <c r="H36" t="s">
        <v>9</v>
      </c>
      <c r="I36" t="s">
        <v>5</v>
      </c>
      <c r="J36" t="s">
        <v>9</v>
      </c>
    </row>
    <row r="37" spans="1:10" x14ac:dyDescent="0.2">
      <c r="A37" t="s">
        <v>217</v>
      </c>
      <c r="B37">
        <v>0.16400000000000001</v>
      </c>
      <c r="C37">
        <f t="shared" si="0"/>
        <v>0.84874202188020675</v>
      </c>
      <c r="F37" t="s">
        <v>13</v>
      </c>
      <c r="G37" t="s">
        <v>689</v>
      </c>
      <c r="H37" t="s">
        <v>17</v>
      </c>
      <c r="I37" t="s">
        <v>5</v>
      </c>
      <c r="J37" t="s">
        <v>9</v>
      </c>
    </row>
    <row r="38" spans="1:10" x14ac:dyDescent="0.2">
      <c r="A38" t="s">
        <v>218</v>
      </c>
      <c r="B38">
        <v>0</v>
      </c>
      <c r="C38">
        <f t="shared" si="0"/>
        <v>1</v>
      </c>
      <c r="F38" t="s">
        <v>13</v>
      </c>
      <c r="G38" t="s">
        <v>689</v>
      </c>
      <c r="H38" t="s">
        <v>20</v>
      </c>
      <c r="I38" t="s">
        <v>5</v>
      </c>
      <c r="J38" t="s">
        <v>9</v>
      </c>
    </row>
    <row r="39" spans="1:10" x14ac:dyDescent="0.2">
      <c r="A39" t="s">
        <v>227</v>
      </c>
      <c r="B39">
        <v>0</v>
      </c>
      <c r="C39">
        <f t="shared" si="0"/>
        <v>1</v>
      </c>
      <c r="F39" t="s">
        <v>2</v>
      </c>
      <c r="G39" t="s">
        <v>689</v>
      </c>
      <c r="H39" t="s">
        <v>9</v>
      </c>
      <c r="I39" t="s">
        <v>5</v>
      </c>
      <c r="J39" t="s">
        <v>9</v>
      </c>
    </row>
    <row r="40" spans="1:10" x14ac:dyDescent="0.2">
      <c r="A40" t="s">
        <v>228</v>
      </c>
      <c r="B40">
        <v>0</v>
      </c>
      <c r="C40">
        <f t="shared" si="0"/>
        <v>1</v>
      </c>
      <c r="F40" t="s">
        <v>2</v>
      </c>
      <c r="G40" t="s">
        <v>689</v>
      </c>
      <c r="H40" t="s">
        <v>23</v>
      </c>
      <c r="I40" t="s">
        <v>5</v>
      </c>
      <c r="J40" t="s">
        <v>9</v>
      </c>
    </row>
    <row r="41" spans="1:10" x14ac:dyDescent="0.2">
      <c r="A41" t="s">
        <v>234</v>
      </c>
      <c r="B41">
        <v>0.16400000000000001</v>
      </c>
      <c r="C41">
        <f t="shared" si="0"/>
        <v>0.84874202188020675</v>
      </c>
      <c r="F41" t="s">
        <v>2</v>
      </c>
      <c r="G41" t="s">
        <v>689</v>
      </c>
      <c r="H41" t="s">
        <v>17</v>
      </c>
      <c r="I41" t="s">
        <v>5</v>
      </c>
      <c r="J41" t="s">
        <v>9</v>
      </c>
    </row>
    <row r="42" spans="1:10" x14ac:dyDescent="0.2">
      <c r="A42" t="s">
        <v>235</v>
      </c>
      <c r="B42">
        <v>0</v>
      </c>
      <c r="C42">
        <f t="shared" si="0"/>
        <v>1</v>
      </c>
      <c r="F42" t="s">
        <v>2</v>
      </c>
      <c r="G42" t="s">
        <v>689</v>
      </c>
      <c r="H42" t="s">
        <v>20</v>
      </c>
      <c r="I42" t="s">
        <v>5</v>
      </c>
      <c r="J42" t="s">
        <v>9</v>
      </c>
    </row>
    <row r="43" spans="1:10" x14ac:dyDescent="0.2">
      <c r="A43" t="s">
        <v>249</v>
      </c>
      <c r="B43">
        <v>0.16400000000000001</v>
      </c>
      <c r="C43">
        <f t="shared" si="0"/>
        <v>0.84874202188020675</v>
      </c>
      <c r="F43" t="s">
        <v>14</v>
      </c>
      <c r="G43" t="s">
        <v>689</v>
      </c>
      <c r="H43" t="s">
        <v>0</v>
      </c>
      <c r="I43" t="s">
        <v>5</v>
      </c>
      <c r="J43" t="s">
        <v>9</v>
      </c>
    </row>
    <row r="44" spans="1:10" x14ac:dyDescent="0.2">
      <c r="A44" t="s">
        <v>251</v>
      </c>
      <c r="B44">
        <v>0</v>
      </c>
      <c r="C44">
        <f t="shared" si="0"/>
        <v>1</v>
      </c>
      <c r="F44" t="s">
        <v>14</v>
      </c>
      <c r="G44" t="s">
        <v>689</v>
      </c>
      <c r="H44" t="s">
        <v>9</v>
      </c>
      <c r="I44" t="s">
        <v>5</v>
      </c>
      <c r="J44" t="s">
        <v>9</v>
      </c>
    </row>
    <row r="45" spans="1:10" x14ac:dyDescent="0.2">
      <c r="A45" t="s">
        <v>253</v>
      </c>
      <c r="B45">
        <v>0</v>
      </c>
      <c r="C45">
        <f t="shared" si="0"/>
        <v>1</v>
      </c>
      <c r="F45" t="s">
        <v>14</v>
      </c>
      <c r="G45" t="s">
        <v>689</v>
      </c>
      <c r="H45" t="s">
        <v>23</v>
      </c>
      <c r="I45" t="s">
        <v>5</v>
      </c>
      <c r="J45" t="s">
        <v>9</v>
      </c>
    </row>
    <row r="46" spans="1:10" x14ac:dyDescent="0.2">
      <c r="A46" t="s">
        <v>254</v>
      </c>
      <c r="B46">
        <v>0.79100000000000004</v>
      </c>
      <c r="C46">
        <f t="shared" si="0"/>
        <v>0.4533911773338492</v>
      </c>
      <c r="F46" t="s">
        <v>14</v>
      </c>
      <c r="G46" t="s">
        <v>689</v>
      </c>
      <c r="H46" t="s">
        <v>11</v>
      </c>
      <c r="I46" t="s">
        <v>5</v>
      </c>
      <c r="J46" t="s">
        <v>9</v>
      </c>
    </row>
    <row r="47" spans="1:10" x14ac:dyDescent="0.2">
      <c r="A47" t="s">
        <v>259</v>
      </c>
      <c r="B47">
        <v>0.16400000000000001</v>
      </c>
      <c r="C47">
        <f t="shared" si="0"/>
        <v>0.84874202188020675</v>
      </c>
      <c r="F47" t="s">
        <v>14</v>
      </c>
      <c r="G47" t="s">
        <v>689</v>
      </c>
      <c r="H47" t="s">
        <v>17</v>
      </c>
      <c r="I47" t="s">
        <v>5</v>
      </c>
      <c r="J47" t="s">
        <v>9</v>
      </c>
    </row>
    <row r="48" spans="1:10" x14ac:dyDescent="0.2">
      <c r="A48" t="s">
        <v>260</v>
      </c>
      <c r="B48">
        <v>0</v>
      </c>
      <c r="C48">
        <f t="shared" si="0"/>
        <v>1</v>
      </c>
      <c r="F48" t="s">
        <v>14</v>
      </c>
      <c r="G48" t="s">
        <v>689</v>
      </c>
      <c r="H48" t="s">
        <v>20</v>
      </c>
      <c r="I48" t="s">
        <v>5</v>
      </c>
      <c r="J48" t="s">
        <v>9</v>
      </c>
    </row>
    <row r="49" spans="1:10" x14ac:dyDescent="0.2">
      <c r="A49" t="s">
        <v>270</v>
      </c>
      <c r="B49">
        <v>0.16400000000000001</v>
      </c>
      <c r="C49">
        <f t="shared" si="0"/>
        <v>0.84874202188020675</v>
      </c>
      <c r="F49" t="s">
        <v>1</v>
      </c>
      <c r="G49" t="s">
        <v>689</v>
      </c>
      <c r="H49" t="s">
        <v>0</v>
      </c>
      <c r="I49" t="s">
        <v>5</v>
      </c>
      <c r="J49" t="s">
        <v>9</v>
      </c>
    </row>
    <row r="50" spans="1:10" x14ac:dyDescent="0.2">
      <c r="A50" t="s">
        <v>271</v>
      </c>
      <c r="B50">
        <v>0</v>
      </c>
      <c r="C50">
        <f t="shared" si="0"/>
        <v>1</v>
      </c>
      <c r="F50" t="s">
        <v>1</v>
      </c>
      <c r="G50" t="s">
        <v>689</v>
      </c>
      <c r="H50" t="s">
        <v>9</v>
      </c>
      <c r="I50" t="s">
        <v>5</v>
      </c>
      <c r="J50" t="s">
        <v>9</v>
      </c>
    </row>
    <row r="51" spans="1:10" x14ac:dyDescent="0.2">
      <c r="A51" t="s">
        <v>272</v>
      </c>
      <c r="B51">
        <v>1.4690000000000001</v>
      </c>
      <c r="C51">
        <f t="shared" si="0"/>
        <v>0.23015552567298364</v>
      </c>
      <c r="F51" t="s">
        <v>1</v>
      </c>
      <c r="G51" t="s">
        <v>689</v>
      </c>
      <c r="H51" t="s">
        <v>26</v>
      </c>
      <c r="I51" t="s">
        <v>5</v>
      </c>
      <c r="J51" t="s">
        <v>9</v>
      </c>
    </row>
    <row r="52" spans="1:10" x14ac:dyDescent="0.2">
      <c r="A52" t="s">
        <v>274</v>
      </c>
      <c r="B52">
        <v>0</v>
      </c>
      <c r="C52">
        <f t="shared" si="0"/>
        <v>1</v>
      </c>
      <c r="F52" t="s">
        <v>1</v>
      </c>
      <c r="G52" t="s">
        <v>689</v>
      </c>
      <c r="H52" t="s">
        <v>23</v>
      </c>
      <c r="I52" t="s">
        <v>5</v>
      </c>
      <c r="J52" t="s">
        <v>9</v>
      </c>
    </row>
    <row r="53" spans="1:10" x14ac:dyDescent="0.2">
      <c r="A53" t="s">
        <v>275</v>
      </c>
      <c r="B53">
        <v>0.79100000000000004</v>
      </c>
      <c r="C53">
        <f t="shared" si="0"/>
        <v>0.4533911773338492</v>
      </c>
      <c r="F53" t="s">
        <v>1</v>
      </c>
      <c r="G53" t="s">
        <v>689</v>
      </c>
      <c r="H53" t="s">
        <v>11</v>
      </c>
      <c r="I53" t="s">
        <v>5</v>
      </c>
      <c r="J53" t="s">
        <v>9</v>
      </c>
    </row>
    <row r="54" spans="1:10" x14ac:dyDescent="0.2">
      <c r="A54" t="s">
        <v>281</v>
      </c>
      <c r="B54">
        <v>0</v>
      </c>
      <c r="C54">
        <f t="shared" si="0"/>
        <v>1</v>
      </c>
      <c r="F54" t="s">
        <v>1</v>
      </c>
      <c r="G54" t="s">
        <v>689</v>
      </c>
      <c r="H54" t="s">
        <v>20</v>
      </c>
      <c r="I54" t="s">
        <v>5</v>
      </c>
      <c r="J54" t="s">
        <v>9</v>
      </c>
    </row>
    <row r="55" spans="1:10" x14ac:dyDescent="0.2">
      <c r="A55" t="s">
        <v>286</v>
      </c>
      <c r="B55">
        <v>1.4690000000000001</v>
      </c>
      <c r="C55">
        <f t="shared" si="0"/>
        <v>0.23015552567298364</v>
      </c>
      <c r="F55" t="s">
        <v>15</v>
      </c>
      <c r="G55" t="s">
        <v>689</v>
      </c>
      <c r="H55" t="s">
        <v>26</v>
      </c>
      <c r="I55" t="s">
        <v>5</v>
      </c>
      <c r="J55" t="s">
        <v>9</v>
      </c>
    </row>
    <row r="56" spans="1:10" x14ac:dyDescent="0.2">
      <c r="A56" t="s">
        <v>294</v>
      </c>
      <c r="B56">
        <v>0.16400000000000001</v>
      </c>
      <c r="C56">
        <f t="shared" si="0"/>
        <v>0.84874202188020675</v>
      </c>
      <c r="F56" t="s">
        <v>15</v>
      </c>
      <c r="G56" t="s">
        <v>689</v>
      </c>
      <c r="H56" t="s">
        <v>17</v>
      </c>
      <c r="I56" t="s">
        <v>5</v>
      </c>
      <c r="J56" t="s">
        <v>9</v>
      </c>
    </row>
    <row r="57" spans="1:10" x14ac:dyDescent="0.2">
      <c r="A57" t="s">
        <v>304</v>
      </c>
      <c r="B57">
        <v>0</v>
      </c>
      <c r="C57">
        <f t="shared" si="0"/>
        <v>1</v>
      </c>
      <c r="F57" t="s">
        <v>16</v>
      </c>
      <c r="G57" t="s">
        <v>689</v>
      </c>
      <c r="H57" t="s">
        <v>9</v>
      </c>
      <c r="I57" t="s">
        <v>5</v>
      </c>
      <c r="J57" t="s">
        <v>9</v>
      </c>
    </row>
    <row r="58" spans="1:10" x14ac:dyDescent="0.2">
      <c r="A58" t="s">
        <v>305</v>
      </c>
      <c r="B58">
        <v>1.4690000000000001</v>
      </c>
      <c r="C58">
        <f t="shared" si="0"/>
        <v>0.23015552567298364</v>
      </c>
      <c r="F58" t="s">
        <v>16</v>
      </c>
      <c r="G58" t="s">
        <v>689</v>
      </c>
      <c r="H58" t="s">
        <v>26</v>
      </c>
      <c r="I58" t="s">
        <v>5</v>
      </c>
      <c r="J58" t="s">
        <v>9</v>
      </c>
    </row>
    <row r="59" spans="1:10" x14ac:dyDescent="0.2">
      <c r="A59" t="s">
        <v>306</v>
      </c>
      <c r="B59">
        <v>0</v>
      </c>
      <c r="C59">
        <f t="shared" si="0"/>
        <v>1</v>
      </c>
      <c r="F59" t="s">
        <v>16</v>
      </c>
      <c r="G59" t="s">
        <v>689</v>
      </c>
      <c r="H59" t="s">
        <v>23</v>
      </c>
      <c r="I59" t="s">
        <v>5</v>
      </c>
      <c r="J59" t="s">
        <v>9</v>
      </c>
    </row>
    <row r="60" spans="1:10" x14ac:dyDescent="0.2">
      <c r="A60" t="s">
        <v>312</v>
      </c>
      <c r="B60">
        <v>0</v>
      </c>
      <c r="C60">
        <f t="shared" si="0"/>
        <v>1</v>
      </c>
      <c r="F60" t="s">
        <v>16</v>
      </c>
      <c r="G60" t="s">
        <v>689</v>
      </c>
      <c r="H60" t="s">
        <v>20</v>
      </c>
      <c r="I60" t="s">
        <v>5</v>
      </c>
      <c r="J60" t="s">
        <v>9</v>
      </c>
    </row>
    <row r="61" spans="1:10" x14ac:dyDescent="0.2">
      <c r="A61" t="s">
        <v>314</v>
      </c>
      <c r="B61">
        <v>1.2729999999999999</v>
      </c>
      <c r="C61">
        <f t="shared" si="0"/>
        <v>0.27999038939254761</v>
      </c>
      <c r="F61" t="s">
        <v>25</v>
      </c>
      <c r="G61" t="s">
        <v>689</v>
      </c>
      <c r="H61" t="s">
        <v>9</v>
      </c>
      <c r="I61" t="s">
        <v>5</v>
      </c>
      <c r="J61" t="s">
        <v>9</v>
      </c>
    </row>
    <row r="62" spans="1:10" x14ac:dyDescent="0.2">
      <c r="A62" t="s">
        <v>316</v>
      </c>
      <c r="B62">
        <v>1.2729999999999999</v>
      </c>
      <c r="C62">
        <f t="shared" si="0"/>
        <v>0.27999038939254761</v>
      </c>
      <c r="F62" t="s">
        <v>25</v>
      </c>
      <c r="G62" t="s">
        <v>689</v>
      </c>
      <c r="H62" t="s">
        <v>20</v>
      </c>
      <c r="I62" t="s">
        <v>5</v>
      </c>
      <c r="J62" t="s">
        <v>9</v>
      </c>
    </row>
    <row r="63" spans="1:10" x14ac:dyDescent="0.2">
      <c r="A63" t="s">
        <v>324</v>
      </c>
      <c r="B63">
        <v>0.63300000000000001</v>
      </c>
      <c r="C63">
        <f t="shared" si="0"/>
        <v>0.53099641987211432</v>
      </c>
      <c r="F63" t="s">
        <v>17</v>
      </c>
      <c r="G63" t="s">
        <v>689</v>
      </c>
      <c r="H63" t="s">
        <v>23</v>
      </c>
      <c r="I63" t="s">
        <v>5</v>
      </c>
      <c r="J63" t="s">
        <v>9</v>
      </c>
    </row>
    <row r="64" spans="1:10" x14ac:dyDescent="0.2">
      <c r="A64" t="s">
        <v>328</v>
      </c>
      <c r="B64">
        <v>0.79700000000000004</v>
      </c>
      <c r="C64">
        <f t="shared" si="0"/>
        <v>0.45067897501340948</v>
      </c>
      <c r="F64" t="s">
        <v>17</v>
      </c>
      <c r="G64" t="s">
        <v>689</v>
      </c>
      <c r="H64" t="s">
        <v>17</v>
      </c>
      <c r="I64" t="s">
        <v>5</v>
      </c>
      <c r="J64" t="s">
        <v>9</v>
      </c>
    </row>
    <row r="65" spans="1:12" x14ac:dyDescent="0.2">
      <c r="A65" t="s">
        <v>329</v>
      </c>
      <c r="B65">
        <v>0.63300000000000001</v>
      </c>
      <c r="C65">
        <f t="shared" si="0"/>
        <v>0.53099641987211432</v>
      </c>
      <c r="F65" t="s">
        <v>17</v>
      </c>
      <c r="G65" t="s">
        <v>689</v>
      </c>
      <c r="H65" t="s">
        <v>20</v>
      </c>
      <c r="I65" t="s">
        <v>5</v>
      </c>
      <c r="J65" t="s">
        <v>9</v>
      </c>
    </row>
    <row r="66" spans="1:12" x14ac:dyDescent="0.2">
      <c r="A66" t="s">
        <v>341</v>
      </c>
      <c r="B66">
        <v>0.16400000000000001</v>
      </c>
      <c r="C66">
        <f t="shared" ref="C66:C129" si="1">EXP(-B66)</f>
        <v>0.84874202188020675</v>
      </c>
      <c r="F66" t="s">
        <v>18</v>
      </c>
      <c r="G66" t="s">
        <v>689</v>
      </c>
      <c r="H66" t="s">
        <v>0</v>
      </c>
      <c r="I66" t="s">
        <v>5</v>
      </c>
      <c r="J66" t="s">
        <v>9</v>
      </c>
    </row>
    <row r="67" spans="1:12" x14ac:dyDescent="0.2">
      <c r="A67" t="s">
        <v>343</v>
      </c>
      <c r="B67">
        <v>0</v>
      </c>
      <c r="C67">
        <f t="shared" si="1"/>
        <v>1</v>
      </c>
      <c r="F67" t="s">
        <v>18</v>
      </c>
      <c r="G67" t="s">
        <v>689</v>
      </c>
      <c r="H67" t="s">
        <v>9</v>
      </c>
      <c r="I67" t="s">
        <v>5</v>
      </c>
      <c r="J67" t="s">
        <v>9</v>
      </c>
    </row>
    <row r="68" spans="1:12" x14ac:dyDescent="0.2">
      <c r="A68" t="s">
        <v>344</v>
      </c>
      <c r="B68">
        <v>0.79100000000000004</v>
      </c>
      <c r="C68">
        <f t="shared" si="1"/>
        <v>0.4533911773338492</v>
      </c>
      <c r="F68" t="s">
        <v>18</v>
      </c>
      <c r="G68" t="s">
        <v>689</v>
      </c>
      <c r="H68" t="s">
        <v>11</v>
      </c>
      <c r="I68" t="s">
        <v>5</v>
      </c>
      <c r="J68" t="s">
        <v>9</v>
      </c>
    </row>
    <row r="69" spans="1:12" x14ac:dyDescent="0.2">
      <c r="A69" t="s">
        <v>350</v>
      </c>
      <c r="B69">
        <v>0.16400000000000001</v>
      </c>
      <c r="C69">
        <f t="shared" si="1"/>
        <v>0.84874202188020675</v>
      </c>
      <c r="F69" t="s">
        <v>18</v>
      </c>
      <c r="G69" t="s">
        <v>689</v>
      </c>
      <c r="H69" t="s">
        <v>17</v>
      </c>
      <c r="I69" t="s">
        <v>5</v>
      </c>
      <c r="J69" t="s">
        <v>9</v>
      </c>
    </row>
    <row r="70" spans="1:12" x14ac:dyDescent="0.2">
      <c r="A70" t="s">
        <v>351</v>
      </c>
      <c r="B70">
        <v>0</v>
      </c>
      <c r="C70">
        <f t="shared" si="1"/>
        <v>1</v>
      </c>
      <c r="F70" t="s">
        <v>18</v>
      </c>
      <c r="G70" t="s">
        <v>689</v>
      </c>
      <c r="H70" t="s">
        <v>20</v>
      </c>
      <c r="I70" t="s">
        <v>5</v>
      </c>
      <c r="J70" t="s">
        <v>9</v>
      </c>
    </row>
    <row r="71" spans="1:12" x14ac:dyDescent="0.2">
      <c r="A71" t="s">
        <v>359</v>
      </c>
      <c r="B71">
        <v>0.63300000000000001</v>
      </c>
      <c r="C71">
        <f t="shared" si="1"/>
        <v>0.53099641987211432</v>
      </c>
      <c r="F71" t="s">
        <v>20</v>
      </c>
      <c r="G71" t="s">
        <v>689</v>
      </c>
      <c r="H71" t="s">
        <v>0</v>
      </c>
      <c r="I71" t="s">
        <v>5</v>
      </c>
      <c r="J71" t="s">
        <v>9</v>
      </c>
    </row>
    <row r="72" spans="1:12" x14ac:dyDescent="0.2">
      <c r="A72" t="s">
        <v>360</v>
      </c>
      <c r="B72">
        <v>0.46899999999999997</v>
      </c>
      <c r="C72">
        <f t="shared" si="1"/>
        <v>0.62562758315631073</v>
      </c>
      <c r="F72" t="s">
        <v>20</v>
      </c>
      <c r="G72" t="s">
        <v>689</v>
      </c>
      <c r="H72" t="s">
        <v>23</v>
      </c>
      <c r="I72" t="s">
        <v>5</v>
      </c>
      <c r="J72" t="s">
        <v>9</v>
      </c>
    </row>
    <row r="73" spans="1:12" x14ac:dyDescent="0.2">
      <c r="A73" t="s">
        <v>362</v>
      </c>
      <c r="B73">
        <v>0.46899999999999997</v>
      </c>
      <c r="C73">
        <f t="shared" si="1"/>
        <v>0.62562758315631073</v>
      </c>
      <c r="E73">
        <f>SUM(C1:C73)</f>
        <v>57.038570052054865</v>
      </c>
      <c r="F73" t="s">
        <v>20</v>
      </c>
      <c r="G73" t="s">
        <v>689</v>
      </c>
      <c r="H73" t="s">
        <v>20</v>
      </c>
      <c r="I73" t="s">
        <v>5</v>
      </c>
      <c r="J73" t="s">
        <v>9</v>
      </c>
      <c r="K73">
        <f>AVERAGE(C2:C73)</f>
        <v>0.79220236183409531</v>
      </c>
      <c r="L73">
        <f>STDEV(C2:C73)</f>
        <v>0.25764460068630829</v>
      </c>
    </row>
    <row r="74" spans="1:12" x14ac:dyDescent="0.2">
      <c r="A74" t="s">
        <v>49</v>
      </c>
      <c r="B74">
        <v>0.16400000000000001</v>
      </c>
      <c r="C74">
        <f t="shared" si="1"/>
        <v>0.84874202188020675</v>
      </c>
      <c r="F74" t="s">
        <v>0</v>
      </c>
      <c r="G74" t="s">
        <v>689</v>
      </c>
      <c r="H74" t="s">
        <v>8</v>
      </c>
      <c r="I74" t="s">
        <v>5</v>
      </c>
      <c r="J74" t="s">
        <v>16</v>
      </c>
    </row>
    <row r="75" spans="1:12" x14ac:dyDescent="0.2">
      <c r="A75" t="s">
        <v>51</v>
      </c>
      <c r="B75">
        <v>0.16400000000000001</v>
      </c>
      <c r="C75">
        <f t="shared" si="1"/>
        <v>0.84874202188020675</v>
      </c>
      <c r="F75" t="s">
        <v>0</v>
      </c>
      <c r="G75" t="s">
        <v>689</v>
      </c>
      <c r="H75" t="s">
        <v>24</v>
      </c>
      <c r="I75" t="s">
        <v>5</v>
      </c>
      <c r="J75" t="s">
        <v>16</v>
      </c>
    </row>
    <row r="76" spans="1:12" x14ac:dyDescent="0.2">
      <c r="A76" t="s">
        <v>52</v>
      </c>
      <c r="B76">
        <v>0.16400000000000001</v>
      </c>
      <c r="C76">
        <f t="shared" si="1"/>
        <v>0.84874202188020675</v>
      </c>
      <c r="F76" t="s">
        <v>0</v>
      </c>
      <c r="G76" t="s">
        <v>689</v>
      </c>
      <c r="H76" t="s">
        <v>12</v>
      </c>
      <c r="I76" t="s">
        <v>5</v>
      </c>
      <c r="J76" t="s">
        <v>16</v>
      </c>
    </row>
    <row r="77" spans="1:12" x14ac:dyDescent="0.2">
      <c r="A77" t="s">
        <v>53</v>
      </c>
      <c r="B77">
        <v>0.16400000000000001</v>
      </c>
      <c r="C77">
        <f t="shared" si="1"/>
        <v>0.84874202188020675</v>
      </c>
      <c r="F77" t="s">
        <v>0</v>
      </c>
      <c r="G77" t="s">
        <v>689</v>
      </c>
      <c r="H77" t="s">
        <v>2</v>
      </c>
      <c r="I77" t="s">
        <v>5</v>
      </c>
      <c r="J77" t="s">
        <v>16</v>
      </c>
    </row>
    <row r="78" spans="1:12" x14ac:dyDescent="0.2">
      <c r="A78" t="s">
        <v>54</v>
      </c>
      <c r="B78">
        <v>0.16400000000000001</v>
      </c>
      <c r="C78">
        <f t="shared" si="1"/>
        <v>0.84874202188020675</v>
      </c>
      <c r="F78" t="s">
        <v>0</v>
      </c>
      <c r="G78" t="s">
        <v>689</v>
      </c>
      <c r="H78" t="s">
        <v>16</v>
      </c>
      <c r="I78" t="s">
        <v>5</v>
      </c>
      <c r="J78" t="s">
        <v>16</v>
      </c>
    </row>
    <row r="79" spans="1:12" x14ac:dyDescent="0.2">
      <c r="A79" t="s">
        <v>61</v>
      </c>
      <c r="B79">
        <v>0</v>
      </c>
      <c r="C79">
        <f t="shared" si="1"/>
        <v>1</v>
      </c>
      <c r="F79" t="s">
        <v>8</v>
      </c>
      <c r="G79" t="s">
        <v>689</v>
      </c>
      <c r="H79" t="s">
        <v>8</v>
      </c>
      <c r="I79" t="s">
        <v>5</v>
      </c>
      <c r="J79" t="s">
        <v>16</v>
      </c>
    </row>
    <row r="80" spans="1:12" x14ac:dyDescent="0.2">
      <c r="A80" t="s">
        <v>62</v>
      </c>
      <c r="B80">
        <v>0</v>
      </c>
      <c r="C80">
        <f t="shared" si="1"/>
        <v>1</v>
      </c>
      <c r="F80" t="s">
        <v>8</v>
      </c>
      <c r="G80" t="s">
        <v>689</v>
      </c>
      <c r="H80" t="s">
        <v>24</v>
      </c>
      <c r="I80" t="s">
        <v>5</v>
      </c>
      <c r="J80" t="s">
        <v>16</v>
      </c>
    </row>
    <row r="81" spans="1:10" x14ac:dyDescent="0.2">
      <c r="A81" t="s">
        <v>63</v>
      </c>
      <c r="B81">
        <v>0</v>
      </c>
      <c r="C81">
        <f t="shared" si="1"/>
        <v>1</v>
      </c>
      <c r="F81" t="s">
        <v>8</v>
      </c>
      <c r="G81" t="s">
        <v>689</v>
      </c>
      <c r="H81" t="s">
        <v>12</v>
      </c>
      <c r="I81" t="s">
        <v>5</v>
      </c>
      <c r="J81" t="s">
        <v>16</v>
      </c>
    </row>
    <row r="82" spans="1:10" x14ac:dyDescent="0.2">
      <c r="A82" t="s">
        <v>64</v>
      </c>
      <c r="B82">
        <v>0</v>
      </c>
      <c r="C82">
        <f t="shared" si="1"/>
        <v>1</v>
      </c>
      <c r="F82" t="s">
        <v>8</v>
      </c>
      <c r="G82" t="s">
        <v>689</v>
      </c>
      <c r="H82" t="s">
        <v>2</v>
      </c>
      <c r="I82" t="s">
        <v>5</v>
      </c>
      <c r="J82" t="s">
        <v>16</v>
      </c>
    </row>
    <row r="83" spans="1:10" x14ac:dyDescent="0.2">
      <c r="A83" t="s">
        <v>65</v>
      </c>
      <c r="B83">
        <v>0</v>
      </c>
      <c r="C83">
        <f t="shared" si="1"/>
        <v>1</v>
      </c>
      <c r="F83" t="s">
        <v>8</v>
      </c>
      <c r="G83" t="s">
        <v>689</v>
      </c>
      <c r="H83" t="s">
        <v>16</v>
      </c>
      <c r="I83" t="s">
        <v>5</v>
      </c>
      <c r="J83" t="s">
        <v>16</v>
      </c>
    </row>
    <row r="84" spans="1:10" x14ac:dyDescent="0.2">
      <c r="A84" t="s">
        <v>78</v>
      </c>
      <c r="B84">
        <v>0</v>
      </c>
      <c r="C84">
        <f t="shared" si="1"/>
        <v>1</v>
      </c>
      <c r="F84" t="s">
        <v>9</v>
      </c>
      <c r="G84" t="s">
        <v>689</v>
      </c>
      <c r="H84" t="s">
        <v>8</v>
      </c>
      <c r="I84" t="s">
        <v>5</v>
      </c>
      <c r="J84" t="s">
        <v>16</v>
      </c>
    </row>
    <row r="85" spans="1:10" x14ac:dyDescent="0.2">
      <c r="A85" t="s">
        <v>81</v>
      </c>
      <c r="B85">
        <v>0</v>
      </c>
      <c r="C85">
        <f t="shared" si="1"/>
        <v>1</v>
      </c>
      <c r="F85" t="s">
        <v>9</v>
      </c>
      <c r="G85" t="s">
        <v>689</v>
      </c>
      <c r="H85" t="s">
        <v>12</v>
      </c>
      <c r="I85" t="s">
        <v>5</v>
      </c>
      <c r="J85" t="s">
        <v>16</v>
      </c>
    </row>
    <row r="86" spans="1:10" x14ac:dyDescent="0.2">
      <c r="A86" t="s">
        <v>82</v>
      </c>
      <c r="B86">
        <v>0</v>
      </c>
      <c r="C86">
        <f t="shared" si="1"/>
        <v>1</v>
      </c>
      <c r="F86" t="s">
        <v>9</v>
      </c>
      <c r="G86" t="s">
        <v>689</v>
      </c>
      <c r="H86" t="s">
        <v>2</v>
      </c>
      <c r="I86" t="s">
        <v>5</v>
      </c>
      <c r="J86" t="s">
        <v>16</v>
      </c>
    </row>
    <row r="87" spans="1:10" x14ac:dyDescent="0.2">
      <c r="A87" t="s">
        <v>83</v>
      </c>
      <c r="B87">
        <v>0</v>
      </c>
      <c r="C87">
        <f t="shared" si="1"/>
        <v>1</v>
      </c>
      <c r="F87" t="s">
        <v>9</v>
      </c>
      <c r="G87" t="s">
        <v>689</v>
      </c>
      <c r="H87" t="s">
        <v>1</v>
      </c>
      <c r="I87" t="s">
        <v>5</v>
      </c>
      <c r="J87" t="s">
        <v>16</v>
      </c>
    </row>
    <row r="88" spans="1:10" x14ac:dyDescent="0.2">
      <c r="A88" t="s">
        <v>84</v>
      </c>
      <c r="B88">
        <v>0</v>
      </c>
      <c r="C88">
        <f t="shared" si="1"/>
        <v>1</v>
      </c>
      <c r="F88" t="s">
        <v>9</v>
      </c>
      <c r="G88" t="s">
        <v>689</v>
      </c>
      <c r="H88" t="s">
        <v>16</v>
      </c>
      <c r="I88" t="s">
        <v>5</v>
      </c>
      <c r="J88" t="s">
        <v>16</v>
      </c>
    </row>
    <row r="89" spans="1:10" x14ac:dyDescent="0.2">
      <c r="A89" t="s">
        <v>97</v>
      </c>
      <c r="B89">
        <v>0</v>
      </c>
      <c r="C89">
        <f t="shared" si="1"/>
        <v>1</v>
      </c>
      <c r="F89" t="s">
        <v>24</v>
      </c>
      <c r="G89" t="s">
        <v>689</v>
      </c>
      <c r="H89" t="s">
        <v>24</v>
      </c>
      <c r="I89" t="s">
        <v>5</v>
      </c>
      <c r="J89" t="s">
        <v>16</v>
      </c>
    </row>
    <row r="90" spans="1:10" x14ac:dyDescent="0.2">
      <c r="A90" t="s">
        <v>100</v>
      </c>
      <c r="B90">
        <v>0</v>
      </c>
      <c r="C90">
        <f t="shared" si="1"/>
        <v>1</v>
      </c>
      <c r="F90" t="s">
        <v>24</v>
      </c>
      <c r="G90" t="s">
        <v>689</v>
      </c>
      <c r="H90" t="s">
        <v>12</v>
      </c>
      <c r="I90" t="s">
        <v>5</v>
      </c>
      <c r="J90" t="s">
        <v>16</v>
      </c>
    </row>
    <row r="91" spans="1:10" x14ac:dyDescent="0.2">
      <c r="A91" t="s">
        <v>101</v>
      </c>
      <c r="B91">
        <v>0</v>
      </c>
      <c r="C91">
        <f t="shared" si="1"/>
        <v>1</v>
      </c>
      <c r="F91" t="s">
        <v>24</v>
      </c>
      <c r="G91" t="s">
        <v>689</v>
      </c>
      <c r="H91" t="s">
        <v>16</v>
      </c>
      <c r="I91" t="s">
        <v>5</v>
      </c>
      <c r="J91" t="s">
        <v>16</v>
      </c>
    </row>
    <row r="92" spans="1:10" x14ac:dyDescent="0.2">
      <c r="A92" t="s">
        <v>102</v>
      </c>
      <c r="B92">
        <v>0</v>
      </c>
      <c r="C92">
        <f t="shared" si="1"/>
        <v>1</v>
      </c>
      <c r="F92" t="s">
        <v>24</v>
      </c>
      <c r="G92" t="s">
        <v>689</v>
      </c>
      <c r="H92" t="s">
        <v>25</v>
      </c>
      <c r="I92" t="s">
        <v>5</v>
      </c>
      <c r="J92" t="s">
        <v>16</v>
      </c>
    </row>
    <row r="93" spans="1:10" x14ac:dyDescent="0.2">
      <c r="A93" t="s">
        <v>109</v>
      </c>
      <c r="B93">
        <v>0.66700000000000004</v>
      </c>
      <c r="C93">
        <f t="shared" si="1"/>
        <v>0.51324600851291879</v>
      </c>
      <c r="F93" t="s">
        <v>23</v>
      </c>
      <c r="G93" t="s">
        <v>689</v>
      </c>
      <c r="H93" t="s">
        <v>12</v>
      </c>
      <c r="I93" t="s">
        <v>5</v>
      </c>
      <c r="J93" t="s">
        <v>16</v>
      </c>
    </row>
    <row r="94" spans="1:10" x14ac:dyDescent="0.2">
      <c r="A94" t="s">
        <v>110</v>
      </c>
      <c r="B94">
        <v>0.66700000000000004</v>
      </c>
      <c r="C94">
        <f t="shared" si="1"/>
        <v>0.51324600851291879</v>
      </c>
      <c r="F94" t="s">
        <v>23</v>
      </c>
      <c r="G94" t="s">
        <v>689</v>
      </c>
      <c r="H94" t="s">
        <v>1</v>
      </c>
      <c r="I94" t="s">
        <v>5</v>
      </c>
      <c r="J94" t="s">
        <v>16</v>
      </c>
    </row>
    <row r="95" spans="1:10" x14ac:dyDescent="0.2">
      <c r="A95" t="s">
        <v>111</v>
      </c>
      <c r="B95">
        <v>0.66700000000000004</v>
      </c>
      <c r="C95">
        <f t="shared" si="1"/>
        <v>0.51324600851291879</v>
      </c>
      <c r="F95" t="s">
        <v>23</v>
      </c>
      <c r="G95" t="s">
        <v>689</v>
      </c>
      <c r="H95" t="s">
        <v>25</v>
      </c>
      <c r="I95" t="s">
        <v>5</v>
      </c>
      <c r="J95" t="s">
        <v>16</v>
      </c>
    </row>
    <row r="96" spans="1:10" x14ac:dyDescent="0.2">
      <c r="A96" t="s">
        <v>124</v>
      </c>
      <c r="B96">
        <v>0</v>
      </c>
      <c r="C96">
        <f t="shared" si="1"/>
        <v>1</v>
      </c>
      <c r="F96" t="s">
        <v>10</v>
      </c>
      <c r="G96" t="s">
        <v>689</v>
      </c>
      <c r="H96" t="s">
        <v>12</v>
      </c>
      <c r="I96" t="s">
        <v>5</v>
      </c>
      <c r="J96" t="s">
        <v>16</v>
      </c>
    </row>
    <row r="97" spans="1:10" x14ac:dyDescent="0.2">
      <c r="A97" t="s">
        <v>125</v>
      </c>
      <c r="B97">
        <v>0</v>
      </c>
      <c r="C97">
        <f t="shared" si="1"/>
        <v>1</v>
      </c>
      <c r="F97" t="s">
        <v>10</v>
      </c>
      <c r="G97" t="s">
        <v>689</v>
      </c>
      <c r="H97" t="s">
        <v>2</v>
      </c>
      <c r="I97" t="s">
        <v>5</v>
      </c>
      <c r="J97" t="s">
        <v>16</v>
      </c>
    </row>
    <row r="98" spans="1:10" x14ac:dyDescent="0.2">
      <c r="A98" t="s">
        <v>126</v>
      </c>
      <c r="B98">
        <v>0</v>
      </c>
      <c r="C98">
        <f t="shared" si="1"/>
        <v>1</v>
      </c>
      <c r="F98" t="s">
        <v>10</v>
      </c>
      <c r="G98" t="s">
        <v>689</v>
      </c>
      <c r="H98" t="s">
        <v>1</v>
      </c>
      <c r="I98" t="s">
        <v>5</v>
      </c>
      <c r="J98" t="s">
        <v>16</v>
      </c>
    </row>
    <row r="99" spans="1:10" x14ac:dyDescent="0.2">
      <c r="A99" t="s">
        <v>127</v>
      </c>
      <c r="B99">
        <v>1.024</v>
      </c>
      <c r="C99">
        <f t="shared" si="1"/>
        <v>0.35915544132940458</v>
      </c>
      <c r="F99" t="s">
        <v>10</v>
      </c>
      <c r="G99" t="s">
        <v>689</v>
      </c>
      <c r="H99" t="s">
        <v>15</v>
      </c>
      <c r="I99" t="s">
        <v>5</v>
      </c>
      <c r="J99" t="s">
        <v>16</v>
      </c>
    </row>
    <row r="100" spans="1:10" x14ac:dyDescent="0.2">
      <c r="A100" t="s">
        <v>128</v>
      </c>
      <c r="B100">
        <v>0</v>
      </c>
      <c r="C100">
        <f t="shared" si="1"/>
        <v>1</v>
      </c>
      <c r="F100" t="s">
        <v>10</v>
      </c>
      <c r="G100" t="s">
        <v>689</v>
      </c>
      <c r="H100" t="s">
        <v>16</v>
      </c>
      <c r="I100" t="s">
        <v>5</v>
      </c>
      <c r="J100" t="s">
        <v>16</v>
      </c>
    </row>
    <row r="101" spans="1:10" x14ac:dyDescent="0.2">
      <c r="A101" t="s">
        <v>129</v>
      </c>
      <c r="B101">
        <v>0</v>
      </c>
      <c r="C101">
        <f t="shared" si="1"/>
        <v>1</v>
      </c>
      <c r="F101" t="s">
        <v>10</v>
      </c>
      <c r="G101" t="s">
        <v>689</v>
      </c>
      <c r="H101" t="s">
        <v>25</v>
      </c>
      <c r="I101" t="s">
        <v>5</v>
      </c>
      <c r="J101" t="s">
        <v>16</v>
      </c>
    </row>
    <row r="102" spans="1:10" x14ac:dyDescent="0.2">
      <c r="A102" t="s">
        <v>138</v>
      </c>
      <c r="B102">
        <v>0.79100000000000004</v>
      </c>
      <c r="C102">
        <f t="shared" si="1"/>
        <v>0.4533911773338492</v>
      </c>
      <c r="F102" t="s">
        <v>11</v>
      </c>
      <c r="G102" t="s">
        <v>689</v>
      </c>
      <c r="H102" t="s">
        <v>12</v>
      </c>
      <c r="I102" t="s">
        <v>5</v>
      </c>
      <c r="J102" t="s">
        <v>16</v>
      </c>
    </row>
    <row r="103" spans="1:10" x14ac:dyDescent="0.2">
      <c r="A103" t="s">
        <v>139</v>
      </c>
      <c r="B103">
        <v>0.79100000000000004</v>
      </c>
      <c r="C103">
        <f t="shared" si="1"/>
        <v>0.4533911773338492</v>
      </c>
      <c r="F103" t="s">
        <v>11</v>
      </c>
      <c r="G103" t="s">
        <v>689</v>
      </c>
      <c r="H103" t="s">
        <v>2</v>
      </c>
      <c r="I103" t="s">
        <v>5</v>
      </c>
      <c r="J103" t="s">
        <v>16</v>
      </c>
    </row>
    <row r="104" spans="1:10" x14ac:dyDescent="0.2">
      <c r="A104" t="s">
        <v>140</v>
      </c>
      <c r="B104">
        <v>0.79100000000000004</v>
      </c>
      <c r="C104">
        <f t="shared" si="1"/>
        <v>0.4533911773338492</v>
      </c>
      <c r="F104" t="s">
        <v>11</v>
      </c>
      <c r="G104" t="s">
        <v>689</v>
      </c>
      <c r="H104" t="s">
        <v>1</v>
      </c>
      <c r="I104" t="s">
        <v>5</v>
      </c>
      <c r="J104" t="s">
        <v>16</v>
      </c>
    </row>
    <row r="105" spans="1:10" x14ac:dyDescent="0.2">
      <c r="A105" t="s">
        <v>151</v>
      </c>
      <c r="B105">
        <v>0</v>
      </c>
      <c r="C105">
        <f t="shared" si="1"/>
        <v>1</v>
      </c>
      <c r="F105" t="s">
        <v>12</v>
      </c>
      <c r="G105" t="s">
        <v>689</v>
      </c>
      <c r="H105" t="s">
        <v>8</v>
      </c>
      <c r="I105" t="s">
        <v>5</v>
      </c>
      <c r="J105" t="s">
        <v>16</v>
      </c>
    </row>
    <row r="106" spans="1:10" x14ac:dyDescent="0.2">
      <c r="A106" t="s">
        <v>153</v>
      </c>
      <c r="B106">
        <v>0</v>
      </c>
      <c r="C106">
        <f t="shared" si="1"/>
        <v>1</v>
      </c>
      <c r="F106" t="s">
        <v>12</v>
      </c>
      <c r="G106" t="s">
        <v>689</v>
      </c>
      <c r="H106" t="s">
        <v>24</v>
      </c>
      <c r="I106" t="s">
        <v>5</v>
      </c>
      <c r="J106" t="s">
        <v>16</v>
      </c>
    </row>
    <row r="107" spans="1:10" x14ac:dyDescent="0.2">
      <c r="A107" t="s">
        <v>154</v>
      </c>
      <c r="B107">
        <v>0</v>
      </c>
      <c r="C107">
        <f t="shared" si="1"/>
        <v>1</v>
      </c>
      <c r="F107" t="s">
        <v>12</v>
      </c>
      <c r="G107" t="s">
        <v>689</v>
      </c>
      <c r="H107" t="s">
        <v>2</v>
      </c>
      <c r="I107" t="s">
        <v>5</v>
      </c>
      <c r="J107" t="s">
        <v>16</v>
      </c>
    </row>
    <row r="108" spans="1:10" x14ac:dyDescent="0.2">
      <c r="A108" t="s">
        <v>155</v>
      </c>
      <c r="B108">
        <v>0</v>
      </c>
      <c r="C108">
        <f t="shared" si="1"/>
        <v>1</v>
      </c>
      <c r="F108" t="s">
        <v>12</v>
      </c>
      <c r="G108" t="s">
        <v>689</v>
      </c>
      <c r="H108" t="s">
        <v>1</v>
      </c>
      <c r="I108" t="s">
        <v>5</v>
      </c>
      <c r="J108" t="s">
        <v>16</v>
      </c>
    </row>
    <row r="109" spans="1:10" x14ac:dyDescent="0.2">
      <c r="A109" t="s">
        <v>156</v>
      </c>
      <c r="B109">
        <v>1.024</v>
      </c>
      <c r="C109">
        <f t="shared" si="1"/>
        <v>0.35915544132940458</v>
      </c>
      <c r="F109" t="s">
        <v>12</v>
      </c>
      <c r="G109" t="s">
        <v>689</v>
      </c>
      <c r="H109" t="s">
        <v>15</v>
      </c>
      <c r="I109" t="s">
        <v>5</v>
      </c>
      <c r="J109" t="s">
        <v>16</v>
      </c>
    </row>
    <row r="110" spans="1:10" x14ac:dyDescent="0.2">
      <c r="A110" t="s">
        <v>157</v>
      </c>
      <c r="B110">
        <v>0</v>
      </c>
      <c r="C110">
        <f t="shared" si="1"/>
        <v>1</v>
      </c>
      <c r="F110" t="s">
        <v>12</v>
      </c>
      <c r="G110" t="s">
        <v>689</v>
      </c>
      <c r="H110" t="s">
        <v>16</v>
      </c>
      <c r="I110" t="s">
        <v>5</v>
      </c>
      <c r="J110" t="s">
        <v>16</v>
      </c>
    </row>
    <row r="111" spans="1:10" x14ac:dyDescent="0.2">
      <c r="A111" t="s">
        <v>158</v>
      </c>
      <c r="B111">
        <v>0</v>
      </c>
      <c r="C111">
        <f t="shared" si="1"/>
        <v>1</v>
      </c>
      <c r="F111" t="s">
        <v>12</v>
      </c>
      <c r="G111" t="s">
        <v>689</v>
      </c>
      <c r="H111" t="s">
        <v>25</v>
      </c>
      <c r="I111" t="s">
        <v>5</v>
      </c>
      <c r="J111" t="s">
        <v>16</v>
      </c>
    </row>
    <row r="112" spans="1:10" x14ac:dyDescent="0.2">
      <c r="A112" t="s">
        <v>172</v>
      </c>
      <c r="B112">
        <v>0</v>
      </c>
      <c r="C112">
        <f t="shared" si="1"/>
        <v>1</v>
      </c>
      <c r="F112" t="s">
        <v>5</v>
      </c>
      <c r="G112" t="s">
        <v>689</v>
      </c>
      <c r="H112" t="s">
        <v>8</v>
      </c>
      <c r="I112" t="s">
        <v>5</v>
      </c>
      <c r="J112" t="s">
        <v>16</v>
      </c>
    </row>
    <row r="113" spans="1:10" x14ac:dyDescent="0.2">
      <c r="A113" t="s">
        <v>174</v>
      </c>
      <c r="B113">
        <v>0</v>
      </c>
      <c r="C113">
        <f t="shared" si="1"/>
        <v>1</v>
      </c>
      <c r="F113" t="s">
        <v>5</v>
      </c>
      <c r="G113" t="s">
        <v>689</v>
      </c>
      <c r="H113" t="s">
        <v>24</v>
      </c>
      <c r="I113" t="s">
        <v>5</v>
      </c>
      <c r="J113" t="s">
        <v>16</v>
      </c>
    </row>
    <row r="114" spans="1:10" x14ac:dyDescent="0.2">
      <c r="A114" t="s">
        <v>177</v>
      </c>
      <c r="B114">
        <v>0</v>
      </c>
      <c r="C114">
        <f t="shared" si="1"/>
        <v>1</v>
      </c>
      <c r="F114" t="s">
        <v>5</v>
      </c>
      <c r="G114" t="s">
        <v>689</v>
      </c>
      <c r="H114" t="s">
        <v>12</v>
      </c>
      <c r="I114" t="s">
        <v>5</v>
      </c>
      <c r="J114" t="s">
        <v>16</v>
      </c>
    </row>
    <row r="115" spans="1:10" x14ac:dyDescent="0.2">
      <c r="A115" t="s">
        <v>178</v>
      </c>
      <c r="B115">
        <v>0</v>
      </c>
      <c r="C115">
        <f t="shared" si="1"/>
        <v>1</v>
      </c>
      <c r="F115" t="s">
        <v>5</v>
      </c>
      <c r="G115" t="s">
        <v>689</v>
      </c>
      <c r="H115" t="s">
        <v>2</v>
      </c>
      <c r="I115" t="s">
        <v>5</v>
      </c>
      <c r="J115" t="s">
        <v>16</v>
      </c>
    </row>
    <row r="116" spans="1:10" x14ac:dyDescent="0.2">
      <c r="A116" t="s">
        <v>179</v>
      </c>
      <c r="B116">
        <v>0</v>
      </c>
      <c r="C116">
        <f t="shared" si="1"/>
        <v>1</v>
      </c>
      <c r="F116" t="s">
        <v>5</v>
      </c>
      <c r="G116" t="s">
        <v>689</v>
      </c>
      <c r="H116" t="s">
        <v>1</v>
      </c>
      <c r="I116" t="s">
        <v>5</v>
      </c>
      <c r="J116" t="s">
        <v>16</v>
      </c>
    </row>
    <row r="117" spans="1:10" x14ac:dyDescent="0.2">
      <c r="A117" t="s">
        <v>180</v>
      </c>
      <c r="B117">
        <v>1.024</v>
      </c>
      <c r="C117">
        <f t="shared" si="1"/>
        <v>0.35915544132940458</v>
      </c>
      <c r="F117" t="s">
        <v>5</v>
      </c>
      <c r="G117" t="s">
        <v>689</v>
      </c>
      <c r="H117" t="s">
        <v>15</v>
      </c>
      <c r="I117" t="s">
        <v>5</v>
      </c>
      <c r="J117" t="s">
        <v>16</v>
      </c>
    </row>
    <row r="118" spans="1:10" x14ac:dyDescent="0.2">
      <c r="A118" t="s">
        <v>181</v>
      </c>
      <c r="B118">
        <v>0</v>
      </c>
      <c r="C118">
        <f t="shared" si="1"/>
        <v>1</v>
      </c>
      <c r="F118" t="s">
        <v>5</v>
      </c>
      <c r="G118" t="s">
        <v>689</v>
      </c>
      <c r="H118" t="s">
        <v>16</v>
      </c>
      <c r="I118" t="s">
        <v>5</v>
      </c>
      <c r="J118" t="s">
        <v>16</v>
      </c>
    </row>
    <row r="119" spans="1:10" x14ac:dyDescent="0.2">
      <c r="A119" t="s">
        <v>182</v>
      </c>
      <c r="B119">
        <v>0</v>
      </c>
      <c r="C119">
        <f t="shared" si="1"/>
        <v>1</v>
      </c>
      <c r="F119" t="s">
        <v>5</v>
      </c>
      <c r="G119" t="s">
        <v>689</v>
      </c>
      <c r="H119" t="s">
        <v>25</v>
      </c>
      <c r="I119" t="s">
        <v>5</v>
      </c>
      <c r="J119" t="s">
        <v>16</v>
      </c>
    </row>
    <row r="120" spans="1:10" x14ac:dyDescent="0.2">
      <c r="A120" t="s">
        <v>196</v>
      </c>
      <c r="B120">
        <v>0</v>
      </c>
      <c r="C120">
        <f t="shared" si="1"/>
        <v>1</v>
      </c>
      <c r="F120" t="s">
        <v>22</v>
      </c>
      <c r="G120" t="s">
        <v>689</v>
      </c>
      <c r="H120" t="s">
        <v>8</v>
      </c>
      <c r="I120" t="s">
        <v>5</v>
      </c>
      <c r="J120" t="s">
        <v>16</v>
      </c>
    </row>
    <row r="121" spans="1:10" x14ac:dyDescent="0.2">
      <c r="A121" t="s">
        <v>198</v>
      </c>
      <c r="B121">
        <v>0</v>
      </c>
      <c r="C121">
        <f t="shared" si="1"/>
        <v>1</v>
      </c>
      <c r="F121" t="s">
        <v>22</v>
      </c>
      <c r="G121" t="s">
        <v>689</v>
      </c>
      <c r="H121" t="s">
        <v>12</v>
      </c>
      <c r="I121" t="s">
        <v>5</v>
      </c>
      <c r="J121" t="s">
        <v>16</v>
      </c>
    </row>
    <row r="122" spans="1:10" x14ac:dyDescent="0.2">
      <c r="A122" t="s">
        <v>199</v>
      </c>
      <c r="B122">
        <v>0</v>
      </c>
      <c r="C122">
        <f t="shared" si="1"/>
        <v>1</v>
      </c>
      <c r="F122" t="s">
        <v>22</v>
      </c>
      <c r="G122" t="s">
        <v>689</v>
      </c>
      <c r="H122" t="s">
        <v>1</v>
      </c>
      <c r="I122" t="s">
        <v>5</v>
      </c>
      <c r="J122" t="s">
        <v>16</v>
      </c>
    </row>
    <row r="123" spans="1:10" x14ac:dyDescent="0.2">
      <c r="A123" t="s">
        <v>200</v>
      </c>
      <c r="B123">
        <v>0</v>
      </c>
      <c r="C123">
        <f t="shared" si="1"/>
        <v>1</v>
      </c>
      <c r="F123" t="s">
        <v>22</v>
      </c>
      <c r="G123" t="s">
        <v>689</v>
      </c>
      <c r="H123" t="s">
        <v>16</v>
      </c>
      <c r="I123" t="s">
        <v>5</v>
      </c>
      <c r="J123" t="s">
        <v>16</v>
      </c>
    </row>
    <row r="124" spans="1:10" x14ac:dyDescent="0.2">
      <c r="A124" t="s">
        <v>201</v>
      </c>
      <c r="B124">
        <v>0</v>
      </c>
      <c r="C124">
        <f t="shared" si="1"/>
        <v>1</v>
      </c>
      <c r="F124" t="s">
        <v>22</v>
      </c>
      <c r="G124" t="s">
        <v>689</v>
      </c>
      <c r="H124" t="s">
        <v>25</v>
      </c>
      <c r="I124" t="s">
        <v>5</v>
      </c>
      <c r="J124" t="s">
        <v>16</v>
      </c>
    </row>
    <row r="125" spans="1:10" x14ac:dyDescent="0.2">
      <c r="A125" t="s">
        <v>213</v>
      </c>
      <c r="B125">
        <v>0</v>
      </c>
      <c r="C125">
        <f t="shared" si="1"/>
        <v>1</v>
      </c>
      <c r="F125" t="s">
        <v>13</v>
      </c>
      <c r="G125" t="s">
        <v>689</v>
      </c>
      <c r="H125" t="s">
        <v>24</v>
      </c>
      <c r="I125" t="s">
        <v>5</v>
      </c>
      <c r="J125" t="s">
        <v>16</v>
      </c>
    </row>
    <row r="126" spans="1:10" x14ac:dyDescent="0.2">
      <c r="A126" t="s">
        <v>214</v>
      </c>
      <c r="B126">
        <v>0</v>
      </c>
      <c r="C126">
        <f t="shared" si="1"/>
        <v>1</v>
      </c>
      <c r="F126" t="s">
        <v>13</v>
      </c>
      <c r="G126" t="s">
        <v>689</v>
      </c>
      <c r="H126" t="s">
        <v>2</v>
      </c>
      <c r="I126" t="s">
        <v>5</v>
      </c>
      <c r="J126" t="s">
        <v>16</v>
      </c>
    </row>
    <row r="127" spans="1:10" x14ac:dyDescent="0.2">
      <c r="A127" t="s">
        <v>215</v>
      </c>
      <c r="B127">
        <v>0</v>
      </c>
      <c r="C127">
        <f t="shared" si="1"/>
        <v>1</v>
      </c>
      <c r="F127" t="s">
        <v>13</v>
      </c>
      <c r="G127" t="s">
        <v>689</v>
      </c>
      <c r="H127" t="s">
        <v>1</v>
      </c>
      <c r="I127" t="s">
        <v>5</v>
      </c>
      <c r="J127" t="s">
        <v>16</v>
      </c>
    </row>
    <row r="128" spans="1:10" x14ac:dyDescent="0.2">
      <c r="A128" t="s">
        <v>216</v>
      </c>
      <c r="B128">
        <v>0</v>
      </c>
      <c r="C128">
        <f t="shared" si="1"/>
        <v>1</v>
      </c>
      <c r="F128" t="s">
        <v>13</v>
      </c>
      <c r="G128" t="s">
        <v>689</v>
      </c>
      <c r="H128" t="s">
        <v>16</v>
      </c>
      <c r="I128" t="s">
        <v>5</v>
      </c>
      <c r="J128" t="s">
        <v>16</v>
      </c>
    </row>
    <row r="129" spans="1:10" x14ac:dyDescent="0.2">
      <c r="A129" t="s">
        <v>226</v>
      </c>
      <c r="B129">
        <v>0</v>
      </c>
      <c r="C129">
        <f t="shared" si="1"/>
        <v>1</v>
      </c>
      <c r="F129" t="s">
        <v>2</v>
      </c>
      <c r="G129" t="s">
        <v>689</v>
      </c>
      <c r="H129" t="s">
        <v>8</v>
      </c>
      <c r="I129" t="s">
        <v>5</v>
      </c>
      <c r="J129" t="s">
        <v>16</v>
      </c>
    </row>
    <row r="130" spans="1:10" x14ac:dyDescent="0.2">
      <c r="A130" t="s">
        <v>229</v>
      </c>
      <c r="B130">
        <v>0</v>
      </c>
      <c r="C130">
        <f t="shared" ref="C130:C193" si="2">EXP(-B130)</f>
        <v>1</v>
      </c>
      <c r="F130" t="s">
        <v>2</v>
      </c>
      <c r="G130" t="s">
        <v>689</v>
      </c>
      <c r="H130" t="s">
        <v>12</v>
      </c>
      <c r="I130" t="s">
        <v>5</v>
      </c>
      <c r="J130" t="s">
        <v>16</v>
      </c>
    </row>
    <row r="131" spans="1:10" x14ac:dyDescent="0.2">
      <c r="A131" t="s">
        <v>230</v>
      </c>
      <c r="B131">
        <v>0</v>
      </c>
      <c r="C131">
        <f t="shared" si="2"/>
        <v>1</v>
      </c>
      <c r="F131" t="s">
        <v>2</v>
      </c>
      <c r="G131" t="s">
        <v>689</v>
      </c>
      <c r="H131" t="s">
        <v>2</v>
      </c>
      <c r="I131" t="s">
        <v>5</v>
      </c>
      <c r="J131" t="s">
        <v>16</v>
      </c>
    </row>
    <row r="132" spans="1:10" x14ac:dyDescent="0.2">
      <c r="A132" t="s">
        <v>231</v>
      </c>
      <c r="B132">
        <v>0</v>
      </c>
      <c r="C132">
        <f t="shared" si="2"/>
        <v>1</v>
      </c>
      <c r="F132" t="s">
        <v>2</v>
      </c>
      <c r="G132" t="s">
        <v>689</v>
      </c>
      <c r="H132" t="s">
        <v>1</v>
      </c>
      <c r="I132" t="s">
        <v>5</v>
      </c>
      <c r="J132" t="s">
        <v>16</v>
      </c>
    </row>
    <row r="133" spans="1:10" x14ac:dyDescent="0.2">
      <c r="A133" t="s">
        <v>232</v>
      </c>
      <c r="B133">
        <v>0</v>
      </c>
      <c r="C133">
        <f t="shared" si="2"/>
        <v>1</v>
      </c>
      <c r="F133" t="s">
        <v>2</v>
      </c>
      <c r="G133" t="s">
        <v>689</v>
      </c>
      <c r="H133" t="s">
        <v>16</v>
      </c>
      <c r="I133" t="s">
        <v>5</v>
      </c>
      <c r="J133" t="s">
        <v>16</v>
      </c>
    </row>
    <row r="134" spans="1:10" x14ac:dyDescent="0.2">
      <c r="A134" t="s">
        <v>233</v>
      </c>
      <c r="B134">
        <v>0</v>
      </c>
      <c r="C134">
        <f t="shared" si="2"/>
        <v>1</v>
      </c>
      <c r="F134" t="s">
        <v>2</v>
      </c>
      <c r="G134" t="s">
        <v>689</v>
      </c>
      <c r="H134" t="s">
        <v>25</v>
      </c>
      <c r="I134" t="s">
        <v>5</v>
      </c>
      <c r="J134" t="s">
        <v>16</v>
      </c>
    </row>
    <row r="135" spans="1:10" x14ac:dyDescent="0.2">
      <c r="A135" t="s">
        <v>250</v>
      </c>
      <c r="B135">
        <v>0</v>
      </c>
      <c r="C135">
        <f t="shared" si="2"/>
        <v>1</v>
      </c>
      <c r="F135" t="s">
        <v>14</v>
      </c>
      <c r="G135" t="s">
        <v>689</v>
      </c>
      <c r="H135" t="s">
        <v>8</v>
      </c>
      <c r="I135" t="s">
        <v>5</v>
      </c>
      <c r="J135" t="s">
        <v>16</v>
      </c>
    </row>
    <row r="136" spans="1:10" x14ac:dyDescent="0.2">
      <c r="A136" t="s">
        <v>252</v>
      </c>
      <c r="B136">
        <v>0</v>
      </c>
      <c r="C136">
        <f t="shared" si="2"/>
        <v>1</v>
      </c>
      <c r="F136" t="s">
        <v>14</v>
      </c>
      <c r="G136" t="s">
        <v>689</v>
      </c>
      <c r="H136" t="s">
        <v>24</v>
      </c>
      <c r="I136" t="s">
        <v>5</v>
      </c>
      <c r="J136" t="s">
        <v>16</v>
      </c>
    </row>
    <row r="137" spans="1:10" x14ac:dyDescent="0.2">
      <c r="A137" t="s">
        <v>255</v>
      </c>
      <c r="B137">
        <v>0</v>
      </c>
      <c r="C137">
        <f t="shared" si="2"/>
        <v>1</v>
      </c>
      <c r="F137" t="s">
        <v>14</v>
      </c>
      <c r="G137" t="s">
        <v>689</v>
      </c>
      <c r="H137" t="s">
        <v>12</v>
      </c>
      <c r="I137" t="s">
        <v>5</v>
      </c>
      <c r="J137" t="s">
        <v>16</v>
      </c>
    </row>
    <row r="138" spans="1:10" x14ac:dyDescent="0.2">
      <c r="A138" t="s">
        <v>256</v>
      </c>
      <c r="B138">
        <v>0</v>
      </c>
      <c r="C138">
        <f t="shared" si="2"/>
        <v>1</v>
      </c>
      <c r="F138" t="s">
        <v>14</v>
      </c>
      <c r="G138" t="s">
        <v>689</v>
      </c>
      <c r="H138" t="s">
        <v>2</v>
      </c>
      <c r="I138" t="s">
        <v>5</v>
      </c>
      <c r="J138" t="s">
        <v>16</v>
      </c>
    </row>
    <row r="139" spans="1:10" x14ac:dyDescent="0.2">
      <c r="A139" t="s">
        <v>257</v>
      </c>
      <c r="B139">
        <v>0</v>
      </c>
      <c r="C139">
        <f t="shared" si="2"/>
        <v>1</v>
      </c>
      <c r="F139" t="s">
        <v>14</v>
      </c>
      <c r="G139" t="s">
        <v>689</v>
      </c>
      <c r="H139" t="s">
        <v>1</v>
      </c>
      <c r="I139" t="s">
        <v>5</v>
      </c>
      <c r="J139" t="s">
        <v>16</v>
      </c>
    </row>
    <row r="140" spans="1:10" x14ac:dyDescent="0.2">
      <c r="A140" t="s">
        <v>258</v>
      </c>
      <c r="B140">
        <v>0</v>
      </c>
      <c r="C140">
        <f t="shared" si="2"/>
        <v>1</v>
      </c>
      <c r="F140" t="s">
        <v>14</v>
      </c>
      <c r="G140" t="s">
        <v>689</v>
      </c>
      <c r="H140" t="s">
        <v>25</v>
      </c>
      <c r="I140" t="s">
        <v>5</v>
      </c>
      <c r="J140" t="s">
        <v>16</v>
      </c>
    </row>
    <row r="141" spans="1:10" x14ac:dyDescent="0.2">
      <c r="A141" t="s">
        <v>273</v>
      </c>
      <c r="B141">
        <v>0</v>
      </c>
      <c r="C141">
        <f t="shared" si="2"/>
        <v>1</v>
      </c>
      <c r="F141" t="s">
        <v>1</v>
      </c>
      <c r="G141" t="s">
        <v>689</v>
      </c>
      <c r="H141" t="s">
        <v>24</v>
      </c>
      <c r="I141" t="s">
        <v>5</v>
      </c>
      <c r="J141" t="s">
        <v>16</v>
      </c>
    </row>
    <row r="142" spans="1:10" x14ac:dyDescent="0.2">
      <c r="A142" t="s">
        <v>276</v>
      </c>
      <c r="B142">
        <v>0</v>
      </c>
      <c r="C142">
        <f t="shared" si="2"/>
        <v>1</v>
      </c>
      <c r="F142" t="s">
        <v>1</v>
      </c>
      <c r="G142" t="s">
        <v>689</v>
      </c>
      <c r="H142" t="s">
        <v>12</v>
      </c>
      <c r="I142" t="s">
        <v>5</v>
      </c>
      <c r="J142" t="s">
        <v>16</v>
      </c>
    </row>
    <row r="143" spans="1:10" x14ac:dyDescent="0.2">
      <c r="A143" t="s">
        <v>277</v>
      </c>
      <c r="B143">
        <v>0</v>
      </c>
      <c r="C143">
        <f t="shared" si="2"/>
        <v>1</v>
      </c>
      <c r="F143" t="s">
        <v>1</v>
      </c>
      <c r="G143" t="s">
        <v>689</v>
      </c>
      <c r="H143" t="s">
        <v>2</v>
      </c>
      <c r="I143" t="s">
        <v>5</v>
      </c>
      <c r="J143" t="s">
        <v>16</v>
      </c>
    </row>
    <row r="144" spans="1:10" x14ac:dyDescent="0.2">
      <c r="A144" t="s">
        <v>278</v>
      </c>
      <c r="B144">
        <v>0</v>
      </c>
      <c r="C144">
        <f t="shared" si="2"/>
        <v>1</v>
      </c>
      <c r="F144" t="s">
        <v>1</v>
      </c>
      <c r="G144" t="s">
        <v>689</v>
      </c>
      <c r="H144" t="s">
        <v>1</v>
      </c>
      <c r="I144" t="s">
        <v>5</v>
      </c>
      <c r="J144" t="s">
        <v>16</v>
      </c>
    </row>
    <row r="145" spans="1:10" x14ac:dyDescent="0.2">
      <c r="A145" t="s">
        <v>279</v>
      </c>
      <c r="B145">
        <v>0</v>
      </c>
      <c r="C145">
        <f t="shared" si="2"/>
        <v>1</v>
      </c>
      <c r="F145" t="s">
        <v>1</v>
      </c>
      <c r="G145" t="s">
        <v>689</v>
      </c>
      <c r="H145" t="s">
        <v>16</v>
      </c>
      <c r="I145" t="s">
        <v>5</v>
      </c>
      <c r="J145" t="s">
        <v>16</v>
      </c>
    </row>
    <row r="146" spans="1:10" x14ac:dyDescent="0.2">
      <c r="A146" t="s">
        <v>280</v>
      </c>
      <c r="B146">
        <v>0</v>
      </c>
      <c r="C146">
        <f t="shared" si="2"/>
        <v>1</v>
      </c>
      <c r="F146" t="s">
        <v>1</v>
      </c>
      <c r="G146" t="s">
        <v>689</v>
      </c>
      <c r="H146" t="s">
        <v>25</v>
      </c>
      <c r="I146" t="s">
        <v>5</v>
      </c>
      <c r="J146" t="s">
        <v>16</v>
      </c>
    </row>
    <row r="147" spans="1:10" x14ac:dyDescent="0.2">
      <c r="A147" t="s">
        <v>287</v>
      </c>
      <c r="B147">
        <v>0</v>
      </c>
      <c r="C147">
        <f t="shared" si="2"/>
        <v>1</v>
      </c>
      <c r="F147" t="s">
        <v>15</v>
      </c>
      <c r="G147" t="s">
        <v>689</v>
      </c>
      <c r="H147" t="s">
        <v>24</v>
      </c>
      <c r="I147" t="s">
        <v>5</v>
      </c>
      <c r="J147" t="s">
        <v>16</v>
      </c>
    </row>
    <row r="148" spans="1:10" x14ac:dyDescent="0.2">
      <c r="A148" t="s">
        <v>288</v>
      </c>
      <c r="B148">
        <v>0</v>
      </c>
      <c r="C148">
        <f t="shared" si="2"/>
        <v>1</v>
      </c>
      <c r="F148" t="s">
        <v>15</v>
      </c>
      <c r="G148" t="s">
        <v>689</v>
      </c>
      <c r="H148" t="s">
        <v>12</v>
      </c>
      <c r="I148" t="s">
        <v>5</v>
      </c>
      <c r="J148" t="s">
        <v>16</v>
      </c>
    </row>
    <row r="149" spans="1:10" x14ac:dyDescent="0.2">
      <c r="A149" t="s">
        <v>289</v>
      </c>
      <c r="B149">
        <v>0</v>
      </c>
      <c r="C149">
        <f t="shared" si="2"/>
        <v>1</v>
      </c>
      <c r="F149" t="s">
        <v>15</v>
      </c>
      <c r="G149" t="s">
        <v>689</v>
      </c>
      <c r="H149" t="s">
        <v>2</v>
      </c>
      <c r="I149" t="s">
        <v>5</v>
      </c>
      <c r="J149" t="s">
        <v>16</v>
      </c>
    </row>
    <row r="150" spans="1:10" x14ac:dyDescent="0.2">
      <c r="A150" t="s">
        <v>290</v>
      </c>
      <c r="B150">
        <v>0</v>
      </c>
      <c r="C150">
        <f t="shared" si="2"/>
        <v>1</v>
      </c>
      <c r="F150" t="s">
        <v>15</v>
      </c>
      <c r="G150" t="s">
        <v>689</v>
      </c>
      <c r="H150" t="s">
        <v>1</v>
      </c>
      <c r="I150" t="s">
        <v>5</v>
      </c>
      <c r="J150" t="s">
        <v>16</v>
      </c>
    </row>
    <row r="151" spans="1:10" x14ac:dyDescent="0.2">
      <c r="A151" t="s">
        <v>291</v>
      </c>
      <c r="B151">
        <v>1.024</v>
      </c>
      <c r="C151">
        <f t="shared" si="2"/>
        <v>0.35915544132940458</v>
      </c>
      <c r="F151" t="s">
        <v>15</v>
      </c>
      <c r="G151" t="s">
        <v>689</v>
      </c>
      <c r="H151" t="s">
        <v>15</v>
      </c>
      <c r="I151" t="s">
        <v>5</v>
      </c>
      <c r="J151" t="s">
        <v>16</v>
      </c>
    </row>
    <row r="152" spans="1:10" x14ac:dyDescent="0.2">
      <c r="A152" t="s">
        <v>292</v>
      </c>
      <c r="B152">
        <v>0</v>
      </c>
      <c r="C152">
        <f t="shared" si="2"/>
        <v>1</v>
      </c>
      <c r="F152" t="s">
        <v>15</v>
      </c>
      <c r="G152" t="s">
        <v>689</v>
      </c>
      <c r="H152" t="s">
        <v>16</v>
      </c>
      <c r="I152" t="s">
        <v>5</v>
      </c>
      <c r="J152" t="s">
        <v>16</v>
      </c>
    </row>
    <row r="153" spans="1:10" x14ac:dyDescent="0.2">
      <c r="A153" t="s">
        <v>293</v>
      </c>
      <c r="B153">
        <v>0</v>
      </c>
      <c r="C153">
        <f t="shared" si="2"/>
        <v>1</v>
      </c>
      <c r="F153" t="s">
        <v>15</v>
      </c>
      <c r="G153" t="s">
        <v>689</v>
      </c>
      <c r="H153" t="s">
        <v>25</v>
      </c>
      <c r="I153" t="s">
        <v>5</v>
      </c>
      <c r="J153" t="s">
        <v>16</v>
      </c>
    </row>
    <row r="154" spans="1:10" x14ac:dyDescent="0.2">
      <c r="A154" t="s">
        <v>303</v>
      </c>
      <c r="B154">
        <v>0</v>
      </c>
      <c r="C154">
        <f t="shared" si="2"/>
        <v>1</v>
      </c>
      <c r="F154" t="s">
        <v>16</v>
      </c>
      <c r="G154" t="s">
        <v>689</v>
      </c>
      <c r="H154" t="s">
        <v>8</v>
      </c>
      <c r="I154" t="s">
        <v>5</v>
      </c>
      <c r="J154" t="s">
        <v>16</v>
      </c>
    </row>
    <row r="155" spans="1:10" x14ac:dyDescent="0.2">
      <c r="A155" t="s">
        <v>307</v>
      </c>
      <c r="B155">
        <v>0</v>
      </c>
      <c r="C155">
        <f t="shared" si="2"/>
        <v>1</v>
      </c>
      <c r="F155" t="s">
        <v>16</v>
      </c>
      <c r="G155" t="s">
        <v>689</v>
      </c>
      <c r="H155" t="s">
        <v>12</v>
      </c>
      <c r="I155" t="s">
        <v>5</v>
      </c>
      <c r="J155" t="s">
        <v>16</v>
      </c>
    </row>
    <row r="156" spans="1:10" x14ac:dyDescent="0.2">
      <c r="A156" t="s">
        <v>308</v>
      </c>
      <c r="B156">
        <v>0</v>
      </c>
      <c r="C156">
        <f t="shared" si="2"/>
        <v>1</v>
      </c>
      <c r="F156" t="s">
        <v>16</v>
      </c>
      <c r="G156" t="s">
        <v>689</v>
      </c>
      <c r="H156" t="s">
        <v>2</v>
      </c>
      <c r="I156" t="s">
        <v>5</v>
      </c>
      <c r="J156" t="s">
        <v>16</v>
      </c>
    </row>
    <row r="157" spans="1:10" x14ac:dyDescent="0.2">
      <c r="A157" t="s">
        <v>309</v>
      </c>
      <c r="B157">
        <v>0</v>
      </c>
      <c r="C157">
        <f t="shared" si="2"/>
        <v>1</v>
      </c>
      <c r="F157" t="s">
        <v>16</v>
      </c>
      <c r="G157" t="s">
        <v>689</v>
      </c>
      <c r="H157" t="s">
        <v>1</v>
      </c>
      <c r="I157" t="s">
        <v>5</v>
      </c>
      <c r="J157" t="s">
        <v>16</v>
      </c>
    </row>
    <row r="158" spans="1:10" x14ac:dyDescent="0.2">
      <c r="A158" t="s">
        <v>310</v>
      </c>
      <c r="B158">
        <v>0</v>
      </c>
      <c r="C158">
        <f t="shared" si="2"/>
        <v>1</v>
      </c>
      <c r="F158" t="s">
        <v>16</v>
      </c>
      <c r="G158" t="s">
        <v>689</v>
      </c>
      <c r="H158" t="s">
        <v>16</v>
      </c>
      <c r="I158" t="s">
        <v>5</v>
      </c>
      <c r="J158" t="s">
        <v>16</v>
      </c>
    </row>
    <row r="159" spans="1:10" x14ac:dyDescent="0.2">
      <c r="A159" t="s">
        <v>311</v>
      </c>
      <c r="B159">
        <v>0</v>
      </c>
      <c r="C159">
        <f t="shared" si="2"/>
        <v>1</v>
      </c>
      <c r="F159" t="s">
        <v>16</v>
      </c>
      <c r="G159" t="s">
        <v>689</v>
      </c>
      <c r="H159" t="s">
        <v>25</v>
      </c>
      <c r="I159" t="s">
        <v>5</v>
      </c>
      <c r="J159" t="s">
        <v>16</v>
      </c>
    </row>
    <row r="160" spans="1:10" x14ac:dyDescent="0.2">
      <c r="A160" t="s">
        <v>315</v>
      </c>
      <c r="B160">
        <v>1.2729999999999999</v>
      </c>
      <c r="C160">
        <f t="shared" si="2"/>
        <v>0.27999038939254761</v>
      </c>
      <c r="F160" t="s">
        <v>25</v>
      </c>
      <c r="G160" t="s">
        <v>689</v>
      </c>
      <c r="H160" t="s">
        <v>24</v>
      </c>
      <c r="I160" t="s">
        <v>5</v>
      </c>
      <c r="J160" t="s">
        <v>16</v>
      </c>
    </row>
    <row r="161" spans="1:12" x14ac:dyDescent="0.2">
      <c r="A161" t="s">
        <v>323</v>
      </c>
      <c r="B161">
        <v>0.63300000000000001</v>
      </c>
      <c r="C161">
        <f t="shared" si="2"/>
        <v>0.53099641987211432</v>
      </c>
      <c r="F161" t="s">
        <v>17</v>
      </c>
      <c r="G161" t="s">
        <v>689</v>
      </c>
      <c r="H161" t="s">
        <v>8</v>
      </c>
      <c r="I161" t="s">
        <v>5</v>
      </c>
      <c r="J161" t="s">
        <v>16</v>
      </c>
    </row>
    <row r="162" spans="1:12" x14ac:dyDescent="0.2">
      <c r="A162" t="s">
        <v>325</v>
      </c>
      <c r="B162">
        <v>0.63300000000000001</v>
      </c>
      <c r="C162">
        <f t="shared" si="2"/>
        <v>0.53099641987211432</v>
      </c>
      <c r="F162" t="s">
        <v>17</v>
      </c>
      <c r="G162" t="s">
        <v>689</v>
      </c>
      <c r="H162" t="s">
        <v>2</v>
      </c>
      <c r="I162" t="s">
        <v>5</v>
      </c>
      <c r="J162" t="s">
        <v>16</v>
      </c>
    </row>
    <row r="163" spans="1:12" x14ac:dyDescent="0.2">
      <c r="A163" t="s">
        <v>326</v>
      </c>
      <c r="B163">
        <v>0.63300000000000001</v>
      </c>
      <c r="C163">
        <f t="shared" si="2"/>
        <v>0.53099641987211432</v>
      </c>
      <c r="F163" t="s">
        <v>17</v>
      </c>
      <c r="G163" t="s">
        <v>689</v>
      </c>
      <c r="H163" t="s">
        <v>16</v>
      </c>
      <c r="I163" t="s">
        <v>5</v>
      </c>
      <c r="J163" t="s">
        <v>16</v>
      </c>
    </row>
    <row r="164" spans="1:12" x14ac:dyDescent="0.2">
      <c r="A164" t="s">
        <v>327</v>
      </c>
      <c r="B164">
        <v>0.63300000000000001</v>
      </c>
      <c r="C164">
        <f t="shared" si="2"/>
        <v>0.53099641987211432</v>
      </c>
      <c r="F164" t="s">
        <v>17</v>
      </c>
      <c r="G164" t="s">
        <v>689</v>
      </c>
      <c r="H164" t="s">
        <v>25</v>
      </c>
      <c r="I164" t="s">
        <v>5</v>
      </c>
      <c r="J164" t="s">
        <v>16</v>
      </c>
    </row>
    <row r="165" spans="1:12" x14ac:dyDescent="0.2">
      <c r="A165" t="s">
        <v>342</v>
      </c>
      <c r="B165">
        <v>0</v>
      </c>
      <c r="C165">
        <f t="shared" si="2"/>
        <v>1</v>
      </c>
      <c r="F165" t="s">
        <v>18</v>
      </c>
      <c r="G165" t="s">
        <v>689</v>
      </c>
      <c r="H165" t="s">
        <v>8</v>
      </c>
      <c r="I165" t="s">
        <v>5</v>
      </c>
      <c r="J165" t="s">
        <v>16</v>
      </c>
    </row>
    <row r="166" spans="1:12" x14ac:dyDescent="0.2">
      <c r="A166" t="s">
        <v>345</v>
      </c>
      <c r="B166">
        <v>0</v>
      </c>
      <c r="C166">
        <f t="shared" si="2"/>
        <v>1</v>
      </c>
      <c r="F166" t="s">
        <v>18</v>
      </c>
      <c r="G166" t="s">
        <v>689</v>
      </c>
      <c r="H166" t="s">
        <v>12</v>
      </c>
      <c r="I166" t="s">
        <v>5</v>
      </c>
      <c r="J166" t="s">
        <v>16</v>
      </c>
    </row>
    <row r="167" spans="1:12" x14ac:dyDescent="0.2">
      <c r="A167" t="s">
        <v>346</v>
      </c>
      <c r="B167">
        <v>0</v>
      </c>
      <c r="C167">
        <f t="shared" si="2"/>
        <v>1</v>
      </c>
      <c r="F167" t="s">
        <v>18</v>
      </c>
      <c r="G167" t="s">
        <v>689</v>
      </c>
      <c r="H167" t="s">
        <v>2</v>
      </c>
      <c r="I167" t="s">
        <v>5</v>
      </c>
      <c r="J167" t="s">
        <v>16</v>
      </c>
    </row>
    <row r="168" spans="1:12" x14ac:dyDescent="0.2">
      <c r="A168" t="s">
        <v>347</v>
      </c>
      <c r="B168">
        <v>0</v>
      </c>
      <c r="C168">
        <f t="shared" si="2"/>
        <v>1</v>
      </c>
      <c r="F168" t="s">
        <v>18</v>
      </c>
      <c r="G168" t="s">
        <v>689</v>
      </c>
      <c r="H168" t="s">
        <v>1</v>
      </c>
      <c r="I168" t="s">
        <v>5</v>
      </c>
      <c r="J168" t="s">
        <v>16</v>
      </c>
    </row>
    <row r="169" spans="1:12" x14ac:dyDescent="0.2">
      <c r="A169" t="s">
        <v>348</v>
      </c>
      <c r="B169">
        <v>0</v>
      </c>
      <c r="C169">
        <f t="shared" si="2"/>
        <v>1</v>
      </c>
      <c r="F169" t="s">
        <v>18</v>
      </c>
      <c r="G169" t="s">
        <v>689</v>
      </c>
      <c r="H169" t="s">
        <v>16</v>
      </c>
      <c r="I169" t="s">
        <v>5</v>
      </c>
      <c r="J169" t="s">
        <v>16</v>
      </c>
    </row>
    <row r="170" spans="1:12" x14ac:dyDescent="0.2">
      <c r="A170" t="s">
        <v>349</v>
      </c>
      <c r="B170">
        <v>0</v>
      </c>
      <c r="C170">
        <f t="shared" si="2"/>
        <v>1</v>
      </c>
      <c r="F170" t="s">
        <v>18</v>
      </c>
      <c r="G170" t="s">
        <v>689</v>
      </c>
      <c r="H170" t="s">
        <v>25</v>
      </c>
      <c r="I170" t="s">
        <v>5</v>
      </c>
      <c r="J170" t="s">
        <v>16</v>
      </c>
    </row>
    <row r="171" spans="1:12" x14ac:dyDescent="0.2">
      <c r="A171" t="s">
        <v>361</v>
      </c>
      <c r="B171">
        <v>0.46899999999999997</v>
      </c>
      <c r="C171">
        <f t="shared" si="2"/>
        <v>0.62562758315631073</v>
      </c>
      <c r="F171" t="s">
        <v>20</v>
      </c>
      <c r="G171" t="s">
        <v>689</v>
      </c>
      <c r="H171" t="s">
        <v>12</v>
      </c>
      <c r="I171" t="s">
        <v>5</v>
      </c>
      <c r="J171" t="s">
        <v>16</v>
      </c>
      <c r="K171">
        <f>AVERAGE(C74:C171)</f>
        <v>0.90418211310506402</v>
      </c>
      <c r="L171">
        <f>STDEV(C74:C171)</f>
        <v>0.2031437255037348</v>
      </c>
    </row>
    <row r="172" spans="1:12" x14ac:dyDescent="0.2">
      <c r="A172" t="s">
        <v>38</v>
      </c>
      <c r="B172">
        <v>0.32800000000000001</v>
      </c>
      <c r="C172">
        <f t="shared" si="2"/>
        <v>0.72036301970530137</v>
      </c>
      <c r="F172" t="s">
        <v>0</v>
      </c>
      <c r="G172" t="s">
        <v>688</v>
      </c>
      <c r="H172" t="s">
        <v>0</v>
      </c>
      <c r="I172" t="s">
        <v>1</v>
      </c>
      <c r="J172" t="s">
        <v>9</v>
      </c>
    </row>
    <row r="173" spans="1:12" x14ac:dyDescent="0.2">
      <c r="A173" t="s">
        <v>40</v>
      </c>
      <c r="B173">
        <v>0.16400000000000001</v>
      </c>
      <c r="C173">
        <f t="shared" si="2"/>
        <v>0.84874202188020675</v>
      </c>
      <c r="F173" t="s">
        <v>0</v>
      </c>
      <c r="G173" t="s">
        <v>688</v>
      </c>
      <c r="H173" t="s">
        <v>9</v>
      </c>
      <c r="I173" t="s">
        <v>1</v>
      </c>
      <c r="J173" t="s">
        <v>9</v>
      </c>
    </row>
    <row r="174" spans="1:12" x14ac:dyDescent="0.2">
      <c r="A174" t="s">
        <v>42</v>
      </c>
      <c r="B174">
        <v>0.16400000000000001</v>
      </c>
      <c r="C174">
        <f t="shared" si="2"/>
        <v>0.84874202188020675</v>
      </c>
      <c r="F174" t="s">
        <v>0</v>
      </c>
      <c r="G174" t="s">
        <v>688</v>
      </c>
      <c r="H174" t="s">
        <v>23</v>
      </c>
      <c r="I174" t="s">
        <v>1</v>
      </c>
      <c r="J174" t="s">
        <v>9</v>
      </c>
    </row>
    <row r="175" spans="1:12" x14ac:dyDescent="0.2">
      <c r="A175" t="s">
        <v>48</v>
      </c>
      <c r="B175">
        <v>0.67</v>
      </c>
      <c r="C175">
        <f t="shared" si="2"/>
        <v>0.51170857778654244</v>
      </c>
      <c r="F175" t="s">
        <v>0</v>
      </c>
      <c r="G175" t="s">
        <v>688</v>
      </c>
      <c r="H175" t="s">
        <v>20</v>
      </c>
      <c r="I175" t="s">
        <v>1</v>
      </c>
      <c r="J175" t="s">
        <v>9</v>
      </c>
    </row>
    <row r="176" spans="1:12" x14ac:dyDescent="0.2">
      <c r="A176" t="s">
        <v>60</v>
      </c>
      <c r="B176">
        <v>1.248</v>
      </c>
      <c r="C176">
        <f t="shared" si="2"/>
        <v>0.28707837984570167</v>
      </c>
      <c r="F176" t="s">
        <v>8</v>
      </c>
      <c r="G176" t="s">
        <v>688</v>
      </c>
      <c r="H176" t="s">
        <v>20</v>
      </c>
      <c r="I176" t="s">
        <v>1</v>
      </c>
      <c r="J176" t="s">
        <v>9</v>
      </c>
    </row>
    <row r="177" spans="1:10" x14ac:dyDescent="0.2">
      <c r="A177" t="s">
        <v>67</v>
      </c>
      <c r="B177">
        <v>0.16400000000000001</v>
      </c>
      <c r="C177">
        <f t="shared" si="2"/>
        <v>0.84874202188020675</v>
      </c>
      <c r="F177" t="s">
        <v>9</v>
      </c>
      <c r="G177" t="s">
        <v>688</v>
      </c>
      <c r="H177" t="s">
        <v>0</v>
      </c>
      <c r="I177" t="s">
        <v>1</v>
      </c>
      <c r="J177" t="s">
        <v>9</v>
      </c>
    </row>
    <row r="178" spans="1:10" x14ac:dyDescent="0.2">
      <c r="A178" t="s">
        <v>69</v>
      </c>
      <c r="B178">
        <v>0</v>
      </c>
      <c r="C178">
        <f t="shared" si="2"/>
        <v>1</v>
      </c>
      <c r="F178" t="s">
        <v>9</v>
      </c>
      <c r="G178" t="s">
        <v>688</v>
      </c>
      <c r="H178" t="s">
        <v>9</v>
      </c>
      <c r="I178" t="s">
        <v>1</v>
      </c>
      <c r="J178" t="s">
        <v>9</v>
      </c>
    </row>
    <row r="179" spans="1:10" x14ac:dyDescent="0.2">
      <c r="A179" t="s">
        <v>71</v>
      </c>
      <c r="B179">
        <v>0</v>
      </c>
      <c r="C179">
        <f t="shared" si="2"/>
        <v>1</v>
      </c>
      <c r="F179" t="s">
        <v>9</v>
      </c>
      <c r="G179" t="s">
        <v>688</v>
      </c>
      <c r="H179" t="s">
        <v>23</v>
      </c>
      <c r="I179" t="s">
        <v>1</v>
      </c>
      <c r="J179" t="s">
        <v>9</v>
      </c>
    </row>
    <row r="180" spans="1:10" x14ac:dyDescent="0.2">
      <c r="A180" t="s">
        <v>89</v>
      </c>
      <c r="B180">
        <v>0</v>
      </c>
      <c r="C180">
        <f t="shared" si="2"/>
        <v>1</v>
      </c>
      <c r="F180" t="s">
        <v>24</v>
      </c>
      <c r="G180" t="s">
        <v>688</v>
      </c>
      <c r="H180" t="s">
        <v>23</v>
      </c>
      <c r="I180" t="s">
        <v>1</v>
      </c>
      <c r="J180" t="s">
        <v>9</v>
      </c>
    </row>
    <row r="181" spans="1:10" x14ac:dyDescent="0.2">
      <c r="A181" t="s">
        <v>95</v>
      </c>
      <c r="B181">
        <v>0.50600000000000001</v>
      </c>
      <c r="C181">
        <f t="shared" si="2"/>
        <v>0.60290237150384207</v>
      </c>
      <c r="F181" t="s">
        <v>24</v>
      </c>
      <c r="G181" t="s">
        <v>688</v>
      </c>
      <c r="H181" t="s">
        <v>20</v>
      </c>
      <c r="I181" t="s">
        <v>1</v>
      </c>
      <c r="J181" t="s">
        <v>9</v>
      </c>
    </row>
    <row r="182" spans="1:10" x14ac:dyDescent="0.2">
      <c r="A182" t="s">
        <v>104</v>
      </c>
      <c r="B182">
        <v>0.83099999999999996</v>
      </c>
      <c r="C182">
        <f t="shared" si="2"/>
        <v>0.4356134549872005</v>
      </c>
      <c r="F182" t="s">
        <v>23</v>
      </c>
      <c r="G182" t="s">
        <v>688</v>
      </c>
      <c r="H182" t="s">
        <v>0</v>
      </c>
      <c r="I182" t="s">
        <v>1</v>
      </c>
      <c r="J182" t="s">
        <v>9</v>
      </c>
    </row>
    <row r="183" spans="1:10" x14ac:dyDescent="0.2">
      <c r="A183" t="s">
        <v>106</v>
      </c>
      <c r="B183">
        <v>0.66700000000000004</v>
      </c>
      <c r="C183">
        <f t="shared" si="2"/>
        <v>0.51324600851291879</v>
      </c>
      <c r="F183" t="s">
        <v>23</v>
      </c>
      <c r="G183" t="s">
        <v>688</v>
      </c>
      <c r="H183" t="s">
        <v>23</v>
      </c>
      <c r="I183" t="s">
        <v>1</v>
      </c>
      <c r="J183" t="s">
        <v>9</v>
      </c>
    </row>
    <row r="184" spans="1:10" x14ac:dyDescent="0.2">
      <c r="A184" t="s">
        <v>107</v>
      </c>
      <c r="B184">
        <v>1.337</v>
      </c>
      <c r="C184">
        <f t="shared" si="2"/>
        <v>0.26263238507076536</v>
      </c>
      <c r="F184" t="s">
        <v>23</v>
      </c>
      <c r="G184" t="s">
        <v>688</v>
      </c>
      <c r="H184" t="s">
        <v>17</v>
      </c>
      <c r="I184" t="s">
        <v>1</v>
      </c>
      <c r="J184" t="s">
        <v>9</v>
      </c>
    </row>
    <row r="185" spans="1:10" x14ac:dyDescent="0.2">
      <c r="A185" t="s">
        <v>114</v>
      </c>
      <c r="B185">
        <v>0</v>
      </c>
      <c r="C185">
        <f t="shared" si="2"/>
        <v>1</v>
      </c>
      <c r="F185" t="s">
        <v>10</v>
      </c>
      <c r="G185" t="s">
        <v>688</v>
      </c>
      <c r="H185" t="s">
        <v>9</v>
      </c>
      <c r="I185" t="s">
        <v>1</v>
      </c>
      <c r="J185" t="s">
        <v>9</v>
      </c>
    </row>
    <row r="186" spans="1:10" x14ac:dyDescent="0.2">
      <c r="A186" t="s">
        <v>119</v>
      </c>
      <c r="B186">
        <v>0.50600000000000001</v>
      </c>
      <c r="C186">
        <f t="shared" si="2"/>
        <v>0.60290237150384207</v>
      </c>
      <c r="F186" t="s">
        <v>10</v>
      </c>
      <c r="G186" t="s">
        <v>688</v>
      </c>
      <c r="H186" t="s">
        <v>20</v>
      </c>
      <c r="I186" t="s">
        <v>1</v>
      </c>
      <c r="J186" t="s">
        <v>9</v>
      </c>
    </row>
    <row r="187" spans="1:10" x14ac:dyDescent="0.2">
      <c r="A187" t="s">
        <v>132</v>
      </c>
      <c r="B187">
        <v>0.95499999999999996</v>
      </c>
      <c r="C187">
        <f t="shared" si="2"/>
        <v>0.38481214455297857</v>
      </c>
      <c r="F187" t="s">
        <v>11</v>
      </c>
      <c r="G187" t="s">
        <v>688</v>
      </c>
      <c r="H187" t="s">
        <v>0</v>
      </c>
      <c r="I187" t="s">
        <v>1</v>
      </c>
      <c r="J187" t="s">
        <v>9</v>
      </c>
    </row>
    <row r="188" spans="1:10" x14ac:dyDescent="0.2">
      <c r="A188" t="s">
        <v>134</v>
      </c>
      <c r="B188">
        <v>0.79100000000000004</v>
      </c>
      <c r="C188">
        <f t="shared" si="2"/>
        <v>0.4533911773338492</v>
      </c>
      <c r="F188" t="s">
        <v>11</v>
      </c>
      <c r="G188" t="s">
        <v>688</v>
      </c>
      <c r="H188" t="s">
        <v>23</v>
      </c>
      <c r="I188" t="s">
        <v>1</v>
      </c>
      <c r="J188" t="s">
        <v>9</v>
      </c>
    </row>
    <row r="189" spans="1:10" x14ac:dyDescent="0.2">
      <c r="A189" t="s">
        <v>142</v>
      </c>
      <c r="B189">
        <v>0.16400000000000001</v>
      </c>
      <c r="C189">
        <f t="shared" si="2"/>
        <v>0.84874202188020675</v>
      </c>
      <c r="F189" t="s">
        <v>12</v>
      </c>
      <c r="G189" t="s">
        <v>688</v>
      </c>
      <c r="H189" t="s">
        <v>0</v>
      </c>
      <c r="I189" t="s">
        <v>1</v>
      </c>
      <c r="J189" t="s">
        <v>9</v>
      </c>
    </row>
    <row r="190" spans="1:10" x14ac:dyDescent="0.2">
      <c r="A190" t="s">
        <v>144</v>
      </c>
      <c r="B190">
        <v>0</v>
      </c>
      <c r="C190">
        <f t="shared" si="2"/>
        <v>1</v>
      </c>
      <c r="F190" t="s">
        <v>12</v>
      </c>
      <c r="G190" t="s">
        <v>688</v>
      </c>
      <c r="H190" t="s">
        <v>9</v>
      </c>
      <c r="I190" t="s">
        <v>1</v>
      </c>
      <c r="J190" t="s">
        <v>9</v>
      </c>
    </row>
    <row r="191" spans="1:10" x14ac:dyDescent="0.2">
      <c r="A191" t="s">
        <v>160</v>
      </c>
      <c r="B191">
        <v>0.16400000000000001</v>
      </c>
      <c r="C191">
        <f t="shared" si="2"/>
        <v>0.84874202188020675</v>
      </c>
      <c r="F191" t="s">
        <v>5</v>
      </c>
      <c r="G191" t="s">
        <v>688</v>
      </c>
      <c r="H191" t="s">
        <v>0</v>
      </c>
      <c r="I191" t="s">
        <v>1</v>
      </c>
      <c r="J191" t="s">
        <v>9</v>
      </c>
    </row>
    <row r="192" spans="1:10" x14ac:dyDescent="0.2">
      <c r="A192" t="s">
        <v>162</v>
      </c>
      <c r="B192">
        <v>0</v>
      </c>
      <c r="C192">
        <f t="shared" si="2"/>
        <v>1</v>
      </c>
      <c r="F192" t="s">
        <v>5</v>
      </c>
      <c r="G192" t="s">
        <v>688</v>
      </c>
      <c r="H192" t="s">
        <v>9</v>
      </c>
      <c r="I192" t="s">
        <v>1</v>
      </c>
      <c r="J192" t="s">
        <v>9</v>
      </c>
    </row>
    <row r="193" spans="1:10" x14ac:dyDescent="0.2">
      <c r="A193" t="s">
        <v>169</v>
      </c>
      <c r="B193">
        <v>0.67</v>
      </c>
      <c r="C193">
        <f t="shared" si="2"/>
        <v>0.51170857778654244</v>
      </c>
      <c r="F193" t="s">
        <v>5</v>
      </c>
      <c r="G193" t="s">
        <v>688</v>
      </c>
      <c r="H193" t="s">
        <v>17</v>
      </c>
      <c r="I193" t="s">
        <v>1</v>
      </c>
      <c r="J193" t="s">
        <v>9</v>
      </c>
    </row>
    <row r="194" spans="1:10" x14ac:dyDescent="0.2">
      <c r="A194" t="s">
        <v>170</v>
      </c>
      <c r="B194">
        <v>0.50600000000000001</v>
      </c>
      <c r="C194">
        <f t="shared" ref="C194:C257" si="3">EXP(-B194)</f>
        <v>0.60290237150384207</v>
      </c>
      <c r="F194" t="s">
        <v>5</v>
      </c>
      <c r="G194" t="s">
        <v>688</v>
      </c>
      <c r="H194" t="s">
        <v>20</v>
      </c>
      <c r="I194" t="s">
        <v>1</v>
      </c>
      <c r="J194" t="s">
        <v>9</v>
      </c>
    </row>
    <row r="195" spans="1:10" x14ac:dyDescent="0.2">
      <c r="A195" t="s">
        <v>185</v>
      </c>
      <c r="B195">
        <v>0.16400000000000001</v>
      </c>
      <c r="C195">
        <f t="shared" si="3"/>
        <v>0.84874202188020675</v>
      </c>
      <c r="F195" t="s">
        <v>22</v>
      </c>
      <c r="G195" t="s">
        <v>688</v>
      </c>
      <c r="H195" t="s">
        <v>0</v>
      </c>
      <c r="I195" t="s">
        <v>1</v>
      </c>
      <c r="J195" t="s">
        <v>9</v>
      </c>
    </row>
    <row r="196" spans="1:10" x14ac:dyDescent="0.2">
      <c r="A196" t="s">
        <v>187</v>
      </c>
      <c r="B196">
        <v>0</v>
      </c>
      <c r="C196">
        <f t="shared" si="3"/>
        <v>1</v>
      </c>
      <c r="F196" t="s">
        <v>22</v>
      </c>
      <c r="G196" t="s">
        <v>688</v>
      </c>
      <c r="H196" t="s">
        <v>9</v>
      </c>
      <c r="I196" t="s">
        <v>1</v>
      </c>
      <c r="J196" t="s">
        <v>9</v>
      </c>
    </row>
    <row r="197" spans="1:10" x14ac:dyDescent="0.2">
      <c r="A197" t="s">
        <v>188</v>
      </c>
      <c r="B197">
        <v>0</v>
      </c>
      <c r="C197">
        <f t="shared" si="3"/>
        <v>1</v>
      </c>
      <c r="F197" t="s">
        <v>22</v>
      </c>
      <c r="G197" t="s">
        <v>688</v>
      </c>
      <c r="H197" t="s">
        <v>23</v>
      </c>
      <c r="I197" t="s">
        <v>1</v>
      </c>
      <c r="J197" t="s">
        <v>9</v>
      </c>
    </row>
    <row r="198" spans="1:10" x14ac:dyDescent="0.2">
      <c r="A198" t="s">
        <v>189</v>
      </c>
      <c r="B198">
        <v>1.5780000000000001</v>
      </c>
      <c r="C198">
        <f t="shared" si="3"/>
        <v>0.20638746062626045</v>
      </c>
      <c r="F198" t="s">
        <v>22</v>
      </c>
      <c r="G198" t="s">
        <v>688</v>
      </c>
      <c r="H198" t="s">
        <v>11</v>
      </c>
      <c r="I198" t="s">
        <v>1</v>
      </c>
      <c r="J198" t="s">
        <v>9</v>
      </c>
    </row>
    <row r="199" spans="1:10" x14ac:dyDescent="0.2">
      <c r="A199" t="s">
        <v>195</v>
      </c>
      <c r="B199">
        <v>0.50600000000000001</v>
      </c>
      <c r="C199">
        <f t="shared" si="3"/>
        <v>0.60290237150384207</v>
      </c>
      <c r="F199" t="s">
        <v>22</v>
      </c>
      <c r="G199" t="s">
        <v>688</v>
      </c>
      <c r="H199" t="s">
        <v>20</v>
      </c>
      <c r="I199" t="s">
        <v>1</v>
      </c>
      <c r="J199" t="s">
        <v>9</v>
      </c>
    </row>
    <row r="200" spans="1:10" x14ac:dyDescent="0.2">
      <c r="A200" t="s">
        <v>204</v>
      </c>
      <c r="B200">
        <v>0.16400000000000001</v>
      </c>
      <c r="C200">
        <f t="shared" si="3"/>
        <v>0.84874202188020675</v>
      </c>
      <c r="F200" t="s">
        <v>13</v>
      </c>
      <c r="G200" t="s">
        <v>688</v>
      </c>
      <c r="H200" t="s">
        <v>0</v>
      </c>
      <c r="I200" t="s">
        <v>1</v>
      </c>
      <c r="J200" t="s">
        <v>9</v>
      </c>
    </row>
    <row r="201" spans="1:10" x14ac:dyDescent="0.2">
      <c r="A201" t="s">
        <v>206</v>
      </c>
      <c r="B201">
        <v>0</v>
      </c>
      <c r="C201">
        <f t="shared" si="3"/>
        <v>1</v>
      </c>
      <c r="F201" t="s">
        <v>13</v>
      </c>
      <c r="G201" t="s">
        <v>688</v>
      </c>
      <c r="H201" t="s">
        <v>23</v>
      </c>
      <c r="I201" t="s">
        <v>1</v>
      </c>
      <c r="J201" t="s">
        <v>9</v>
      </c>
    </row>
    <row r="202" spans="1:10" x14ac:dyDescent="0.2">
      <c r="A202" t="s">
        <v>220</v>
      </c>
      <c r="B202">
        <v>0</v>
      </c>
      <c r="C202">
        <f t="shared" si="3"/>
        <v>1</v>
      </c>
      <c r="F202" t="s">
        <v>2</v>
      </c>
      <c r="G202" t="s">
        <v>688</v>
      </c>
      <c r="H202" t="s">
        <v>23</v>
      </c>
      <c r="I202" t="s">
        <v>1</v>
      </c>
      <c r="J202" t="s">
        <v>9</v>
      </c>
    </row>
    <row r="203" spans="1:10" x14ac:dyDescent="0.2">
      <c r="A203" t="s">
        <v>236</v>
      </c>
      <c r="B203">
        <v>0.16400000000000001</v>
      </c>
      <c r="C203">
        <f t="shared" si="3"/>
        <v>0.84874202188020675</v>
      </c>
      <c r="F203" t="s">
        <v>14</v>
      </c>
      <c r="G203" t="s">
        <v>688</v>
      </c>
      <c r="H203" t="s">
        <v>0</v>
      </c>
      <c r="I203" t="s">
        <v>1</v>
      </c>
      <c r="J203" t="s">
        <v>9</v>
      </c>
    </row>
    <row r="204" spans="1:10" x14ac:dyDescent="0.2">
      <c r="A204" t="s">
        <v>238</v>
      </c>
      <c r="B204">
        <v>0</v>
      </c>
      <c r="C204">
        <f t="shared" si="3"/>
        <v>1</v>
      </c>
      <c r="F204" t="s">
        <v>14</v>
      </c>
      <c r="G204" t="s">
        <v>688</v>
      </c>
      <c r="H204" t="s">
        <v>9</v>
      </c>
      <c r="I204" t="s">
        <v>1</v>
      </c>
      <c r="J204" t="s">
        <v>9</v>
      </c>
    </row>
    <row r="205" spans="1:10" x14ac:dyDescent="0.2">
      <c r="A205" t="s">
        <v>240</v>
      </c>
      <c r="B205">
        <v>0</v>
      </c>
      <c r="C205">
        <f t="shared" si="3"/>
        <v>1</v>
      </c>
      <c r="F205" t="s">
        <v>14</v>
      </c>
      <c r="G205" t="s">
        <v>688</v>
      </c>
      <c r="H205" t="s">
        <v>23</v>
      </c>
      <c r="I205" t="s">
        <v>1</v>
      </c>
      <c r="J205" t="s">
        <v>9</v>
      </c>
    </row>
    <row r="206" spans="1:10" x14ac:dyDescent="0.2">
      <c r="A206" t="s">
        <v>241</v>
      </c>
      <c r="B206">
        <v>1.5780000000000001</v>
      </c>
      <c r="C206">
        <f t="shared" si="3"/>
        <v>0.20638746062626045</v>
      </c>
      <c r="F206" t="s">
        <v>14</v>
      </c>
      <c r="G206" t="s">
        <v>688</v>
      </c>
      <c r="H206" t="s">
        <v>11</v>
      </c>
      <c r="I206" t="s">
        <v>1</v>
      </c>
      <c r="J206" t="s">
        <v>9</v>
      </c>
    </row>
    <row r="207" spans="1:10" x14ac:dyDescent="0.2">
      <c r="A207" t="s">
        <v>248</v>
      </c>
      <c r="B207">
        <v>0.50600000000000001</v>
      </c>
      <c r="C207">
        <f t="shared" si="3"/>
        <v>0.60290237150384207</v>
      </c>
      <c r="F207" t="s">
        <v>14</v>
      </c>
      <c r="G207" t="s">
        <v>688</v>
      </c>
      <c r="H207" t="s">
        <v>20</v>
      </c>
      <c r="I207" t="s">
        <v>1</v>
      </c>
      <c r="J207" t="s">
        <v>9</v>
      </c>
    </row>
    <row r="208" spans="1:10" x14ac:dyDescent="0.2">
      <c r="A208" t="s">
        <v>261</v>
      </c>
      <c r="B208">
        <v>0.16400000000000001</v>
      </c>
      <c r="C208">
        <f t="shared" si="3"/>
        <v>0.84874202188020675</v>
      </c>
      <c r="F208" t="s">
        <v>1</v>
      </c>
      <c r="G208" t="s">
        <v>688</v>
      </c>
      <c r="H208" t="s">
        <v>0</v>
      </c>
      <c r="I208" t="s">
        <v>1</v>
      </c>
      <c r="J208" t="s">
        <v>9</v>
      </c>
    </row>
    <row r="209" spans="1:12" x14ac:dyDescent="0.2">
      <c r="A209" t="s">
        <v>262</v>
      </c>
      <c r="B209">
        <v>0</v>
      </c>
      <c r="C209">
        <f t="shared" si="3"/>
        <v>1</v>
      </c>
      <c r="F209" t="s">
        <v>1</v>
      </c>
      <c r="G209" t="s">
        <v>688</v>
      </c>
      <c r="H209" t="s">
        <v>9</v>
      </c>
      <c r="I209" t="s">
        <v>1</v>
      </c>
      <c r="J209" t="s">
        <v>9</v>
      </c>
    </row>
    <row r="210" spans="1:12" x14ac:dyDescent="0.2">
      <c r="A210" t="s">
        <v>263</v>
      </c>
      <c r="B210">
        <v>0</v>
      </c>
      <c r="C210">
        <f t="shared" si="3"/>
        <v>1</v>
      </c>
      <c r="F210" t="s">
        <v>1</v>
      </c>
      <c r="G210" t="s">
        <v>688</v>
      </c>
      <c r="H210" t="s">
        <v>23</v>
      </c>
      <c r="I210" t="s">
        <v>1</v>
      </c>
      <c r="J210" t="s">
        <v>9</v>
      </c>
    </row>
    <row r="211" spans="1:12" x14ac:dyDescent="0.2">
      <c r="A211" t="s">
        <v>269</v>
      </c>
      <c r="B211">
        <v>0.67</v>
      </c>
      <c r="C211">
        <f t="shared" si="3"/>
        <v>0.51170857778654244</v>
      </c>
      <c r="F211" t="s">
        <v>1</v>
      </c>
      <c r="G211" t="s">
        <v>688</v>
      </c>
      <c r="H211" t="s">
        <v>17</v>
      </c>
      <c r="I211" t="s">
        <v>1</v>
      </c>
      <c r="J211" t="s">
        <v>9</v>
      </c>
    </row>
    <row r="212" spans="1:12" x14ac:dyDescent="0.2">
      <c r="A212" t="s">
        <v>295</v>
      </c>
      <c r="B212">
        <v>0</v>
      </c>
      <c r="C212">
        <f t="shared" si="3"/>
        <v>1</v>
      </c>
      <c r="F212" t="s">
        <v>16</v>
      </c>
      <c r="G212" t="s">
        <v>688</v>
      </c>
      <c r="H212" t="s">
        <v>9</v>
      </c>
      <c r="I212" t="s">
        <v>1</v>
      </c>
      <c r="J212" t="s">
        <v>9</v>
      </c>
    </row>
    <row r="213" spans="1:12" x14ac:dyDescent="0.2">
      <c r="A213" t="s">
        <v>297</v>
      </c>
      <c r="B213">
        <v>0</v>
      </c>
      <c r="C213">
        <f t="shared" si="3"/>
        <v>1</v>
      </c>
      <c r="F213" t="s">
        <v>16</v>
      </c>
      <c r="G213" t="s">
        <v>688</v>
      </c>
      <c r="H213" t="s">
        <v>23</v>
      </c>
      <c r="I213" t="s">
        <v>1</v>
      </c>
      <c r="J213" t="s">
        <v>9</v>
      </c>
    </row>
    <row r="214" spans="1:12" x14ac:dyDescent="0.2">
      <c r="A214" t="s">
        <v>302</v>
      </c>
      <c r="B214">
        <v>0.50600000000000001</v>
      </c>
      <c r="C214">
        <f t="shared" si="3"/>
        <v>0.60290237150384207</v>
      </c>
      <c r="F214" t="s">
        <v>16</v>
      </c>
      <c r="G214" t="s">
        <v>688</v>
      </c>
      <c r="H214" t="s">
        <v>20</v>
      </c>
      <c r="I214" t="s">
        <v>1</v>
      </c>
      <c r="J214" t="s">
        <v>9</v>
      </c>
    </row>
    <row r="215" spans="1:12" x14ac:dyDescent="0.2">
      <c r="A215" t="s">
        <v>317</v>
      </c>
      <c r="B215">
        <v>0.63300000000000001</v>
      </c>
      <c r="C215">
        <f t="shared" si="3"/>
        <v>0.53099641987211432</v>
      </c>
      <c r="F215" t="s">
        <v>17</v>
      </c>
      <c r="G215" t="s">
        <v>688</v>
      </c>
      <c r="H215" t="s">
        <v>23</v>
      </c>
      <c r="I215" t="s">
        <v>1</v>
      </c>
      <c r="J215" t="s">
        <v>9</v>
      </c>
    </row>
    <row r="216" spans="1:12" x14ac:dyDescent="0.2">
      <c r="A216" t="s">
        <v>322</v>
      </c>
      <c r="B216">
        <v>1.3029999999999999</v>
      </c>
      <c r="C216">
        <f t="shared" si="3"/>
        <v>0.27171542282250544</v>
      </c>
      <c r="F216" t="s">
        <v>17</v>
      </c>
      <c r="G216" t="s">
        <v>688</v>
      </c>
      <c r="H216" t="s">
        <v>17</v>
      </c>
      <c r="I216" t="s">
        <v>1</v>
      </c>
      <c r="J216" t="s">
        <v>9</v>
      </c>
    </row>
    <row r="217" spans="1:12" x14ac:dyDescent="0.2">
      <c r="A217" t="s">
        <v>331</v>
      </c>
      <c r="B217">
        <v>1.9750000000000001</v>
      </c>
      <c r="C217">
        <f t="shared" si="3"/>
        <v>0.13876131224295524</v>
      </c>
      <c r="F217" t="s">
        <v>18</v>
      </c>
      <c r="G217" t="s">
        <v>688</v>
      </c>
      <c r="H217" t="s">
        <v>26</v>
      </c>
      <c r="I217" t="s">
        <v>1</v>
      </c>
      <c r="J217" t="s">
        <v>9</v>
      </c>
    </row>
    <row r="218" spans="1:12" x14ac:dyDescent="0.2">
      <c r="A218" t="s">
        <v>333</v>
      </c>
      <c r="B218">
        <v>0</v>
      </c>
      <c r="C218">
        <f t="shared" si="3"/>
        <v>1</v>
      </c>
      <c r="F218" t="s">
        <v>18</v>
      </c>
      <c r="G218" t="s">
        <v>688</v>
      </c>
      <c r="H218" t="s">
        <v>23</v>
      </c>
      <c r="I218" t="s">
        <v>1</v>
      </c>
      <c r="J218" t="s">
        <v>9</v>
      </c>
    </row>
    <row r="219" spans="1:12" x14ac:dyDescent="0.2">
      <c r="A219" t="s">
        <v>340</v>
      </c>
      <c r="B219">
        <v>0.50600000000000001</v>
      </c>
      <c r="C219">
        <f t="shared" si="3"/>
        <v>0.60290237150384207</v>
      </c>
      <c r="F219" t="s">
        <v>18</v>
      </c>
      <c r="G219" t="s">
        <v>688</v>
      </c>
      <c r="H219" t="s">
        <v>20</v>
      </c>
      <c r="I219" t="s">
        <v>1</v>
      </c>
      <c r="J219" t="s">
        <v>9</v>
      </c>
    </row>
    <row r="220" spans="1:12" x14ac:dyDescent="0.2">
      <c r="A220" t="s">
        <v>355</v>
      </c>
      <c r="B220">
        <v>0.46899999999999997</v>
      </c>
      <c r="C220">
        <f t="shared" si="3"/>
        <v>0.62562758315631073</v>
      </c>
      <c r="F220" t="s">
        <v>20</v>
      </c>
      <c r="G220" t="s">
        <v>688</v>
      </c>
      <c r="H220" t="s">
        <v>23</v>
      </c>
      <c r="I220" t="s">
        <v>1</v>
      </c>
      <c r="J220" t="s">
        <v>9</v>
      </c>
    </row>
    <row r="221" spans="1:12" x14ac:dyDescent="0.2">
      <c r="A221" t="s">
        <v>358</v>
      </c>
      <c r="B221">
        <v>1.139</v>
      </c>
      <c r="C221">
        <f t="shared" si="3"/>
        <v>0.32013900080094759</v>
      </c>
      <c r="F221" t="s">
        <v>20</v>
      </c>
      <c r="G221" t="s">
        <v>688</v>
      </c>
      <c r="H221" t="s">
        <v>17</v>
      </c>
      <c r="I221" t="s">
        <v>1</v>
      </c>
      <c r="J221" t="s">
        <v>9</v>
      </c>
      <c r="K221">
        <f>AVERAGE(C172:C221)</f>
        <v>0.71502543521928896</v>
      </c>
      <c r="L221">
        <f>STDEV(C172:C221)</f>
        <v>0.27410124564629795</v>
      </c>
    </row>
    <row r="222" spans="1:12" x14ac:dyDescent="0.2">
      <c r="A222" t="s">
        <v>39</v>
      </c>
      <c r="B222">
        <v>0.16400000000000001</v>
      </c>
      <c r="C222">
        <f t="shared" si="3"/>
        <v>0.84874202188020675</v>
      </c>
      <c r="F222" t="s">
        <v>0</v>
      </c>
      <c r="G222" t="s">
        <v>688</v>
      </c>
      <c r="H222" t="s">
        <v>8</v>
      </c>
      <c r="I222" t="s">
        <v>1</v>
      </c>
      <c r="J222" t="s">
        <v>16</v>
      </c>
    </row>
    <row r="223" spans="1:12" x14ac:dyDescent="0.2">
      <c r="A223" t="s">
        <v>41</v>
      </c>
      <c r="B223">
        <v>0.16400000000000001</v>
      </c>
      <c r="C223">
        <f t="shared" si="3"/>
        <v>0.84874202188020675</v>
      </c>
      <c r="F223" t="s">
        <v>0</v>
      </c>
      <c r="G223" t="s">
        <v>688</v>
      </c>
      <c r="H223" t="s">
        <v>24</v>
      </c>
      <c r="I223" t="s">
        <v>1</v>
      </c>
      <c r="J223" t="s">
        <v>16</v>
      </c>
    </row>
    <row r="224" spans="1:12" x14ac:dyDescent="0.2">
      <c r="A224" t="s">
        <v>43</v>
      </c>
      <c r="B224">
        <v>0.16400000000000001</v>
      </c>
      <c r="C224">
        <f t="shared" si="3"/>
        <v>0.84874202188020675</v>
      </c>
      <c r="F224" t="s">
        <v>0</v>
      </c>
      <c r="G224" t="s">
        <v>688</v>
      </c>
      <c r="H224" t="s">
        <v>12</v>
      </c>
      <c r="I224" t="s">
        <v>1</v>
      </c>
      <c r="J224" t="s">
        <v>16</v>
      </c>
    </row>
    <row r="225" spans="1:10" x14ac:dyDescent="0.2">
      <c r="A225" t="s">
        <v>44</v>
      </c>
      <c r="B225">
        <v>0.16400000000000001</v>
      </c>
      <c r="C225">
        <f t="shared" si="3"/>
        <v>0.84874202188020675</v>
      </c>
      <c r="F225" t="s">
        <v>0</v>
      </c>
      <c r="G225" t="s">
        <v>688</v>
      </c>
      <c r="H225" t="s">
        <v>2</v>
      </c>
      <c r="I225" t="s">
        <v>1</v>
      </c>
      <c r="J225" t="s">
        <v>16</v>
      </c>
    </row>
    <row r="226" spans="1:10" x14ac:dyDescent="0.2">
      <c r="A226" t="s">
        <v>45</v>
      </c>
      <c r="B226">
        <v>0.16400000000000001</v>
      </c>
      <c r="C226">
        <f t="shared" si="3"/>
        <v>0.84874202188020675</v>
      </c>
      <c r="F226" t="s">
        <v>0</v>
      </c>
      <c r="G226" t="s">
        <v>688</v>
      </c>
      <c r="H226" t="s">
        <v>1</v>
      </c>
      <c r="I226" t="s">
        <v>1</v>
      </c>
      <c r="J226" t="s">
        <v>16</v>
      </c>
    </row>
    <row r="227" spans="1:10" x14ac:dyDescent="0.2">
      <c r="A227" t="s">
        <v>46</v>
      </c>
      <c r="B227">
        <v>0.16400000000000001</v>
      </c>
      <c r="C227">
        <f t="shared" si="3"/>
        <v>0.84874202188020675</v>
      </c>
      <c r="F227" t="s">
        <v>0</v>
      </c>
      <c r="G227" t="s">
        <v>688</v>
      </c>
      <c r="H227" t="s">
        <v>15</v>
      </c>
      <c r="I227" t="s">
        <v>1</v>
      </c>
      <c r="J227" t="s">
        <v>16</v>
      </c>
    </row>
    <row r="228" spans="1:10" x14ac:dyDescent="0.2">
      <c r="A228" t="s">
        <v>47</v>
      </c>
      <c r="B228">
        <v>0.16400000000000001</v>
      </c>
      <c r="C228">
        <f t="shared" si="3"/>
        <v>0.84874202188020675</v>
      </c>
      <c r="F228" t="s">
        <v>0</v>
      </c>
      <c r="G228" t="s">
        <v>688</v>
      </c>
      <c r="H228" t="s">
        <v>16</v>
      </c>
      <c r="I228" t="s">
        <v>1</v>
      </c>
      <c r="J228" t="s">
        <v>16</v>
      </c>
    </row>
    <row r="229" spans="1:10" x14ac:dyDescent="0.2">
      <c r="A229" t="s">
        <v>57</v>
      </c>
      <c r="B229">
        <v>0.74199999999999999</v>
      </c>
      <c r="C229">
        <f t="shared" si="3"/>
        <v>0.47616064128198943</v>
      </c>
      <c r="F229" t="s">
        <v>8</v>
      </c>
      <c r="G229" t="s">
        <v>688</v>
      </c>
      <c r="H229" t="s">
        <v>12</v>
      </c>
      <c r="I229" t="s">
        <v>1</v>
      </c>
      <c r="J229" t="s">
        <v>16</v>
      </c>
    </row>
    <row r="230" spans="1:10" x14ac:dyDescent="0.2">
      <c r="A230" t="s">
        <v>58</v>
      </c>
      <c r="B230">
        <v>0.74199999999999999</v>
      </c>
      <c r="C230">
        <f t="shared" si="3"/>
        <v>0.47616064128198943</v>
      </c>
      <c r="F230" t="s">
        <v>8</v>
      </c>
      <c r="G230" t="s">
        <v>688</v>
      </c>
      <c r="H230" t="s">
        <v>2</v>
      </c>
      <c r="I230" t="s">
        <v>1</v>
      </c>
      <c r="J230" t="s">
        <v>16</v>
      </c>
    </row>
    <row r="231" spans="1:10" x14ac:dyDescent="0.2">
      <c r="A231" t="s">
        <v>59</v>
      </c>
      <c r="B231">
        <v>0.74199999999999999</v>
      </c>
      <c r="C231">
        <f t="shared" si="3"/>
        <v>0.47616064128198943</v>
      </c>
      <c r="F231" t="s">
        <v>8</v>
      </c>
      <c r="G231" t="s">
        <v>688</v>
      </c>
      <c r="H231" t="s">
        <v>16</v>
      </c>
      <c r="I231" t="s">
        <v>1</v>
      </c>
      <c r="J231" t="s">
        <v>16</v>
      </c>
    </row>
    <row r="232" spans="1:10" x14ac:dyDescent="0.2">
      <c r="A232" t="s">
        <v>68</v>
      </c>
      <c r="B232">
        <v>0</v>
      </c>
      <c r="C232">
        <f t="shared" si="3"/>
        <v>1</v>
      </c>
      <c r="F232" t="s">
        <v>9</v>
      </c>
      <c r="G232" t="s">
        <v>688</v>
      </c>
      <c r="H232" t="s">
        <v>8</v>
      </c>
      <c r="I232" t="s">
        <v>1</v>
      </c>
      <c r="J232" t="s">
        <v>16</v>
      </c>
    </row>
    <row r="233" spans="1:10" x14ac:dyDescent="0.2">
      <c r="A233" t="s">
        <v>70</v>
      </c>
      <c r="B233">
        <v>0</v>
      </c>
      <c r="C233">
        <f t="shared" si="3"/>
        <v>1</v>
      </c>
      <c r="F233" t="s">
        <v>9</v>
      </c>
      <c r="G233" t="s">
        <v>688</v>
      </c>
      <c r="H233" t="s">
        <v>24</v>
      </c>
      <c r="I233" t="s">
        <v>1</v>
      </c>
      <c r="J233" t="s">
        <v>16</v>
      </c>
    </row>
    <row r="234" spans="1:10" x14ac:dyDescent="0.2">
      <c r="A234" t="s">
        <v>72</v>
      </c>
      <c r="B234">
        <v>0</v>
      </c>
      <c r="C234">
        <f t="shared" si="3"/>
        <v>1</v>
      </c>
      <c r="F234" t="s">
        <v>9</v>
      </c>
      <c r="G234" t="s">
        <v>688</v>
      </c>
      <c r="H234" t="s">
        <v>12</v>
      </c>
      <c r="I234" t="s">
        <v>1</v>
      </c>
      <c r="J234" t="s">
        <v>16</v>
      </c>
    </row>
    <row r="235" spans="1:10" x14ac:dyDescent="0.2">
      <c r="A235" t="s">
        <v>73</v>
      </c>
      <c r="B235">
        <v>0</v>
      </c>
      <c r="C235">
        <f t="shared" si="3"/>
        <v>1</v>
      </c>
      <c r="F235" t="s">
        <v>9</v>
      </c>
      <c r="G235" t="s">
        <v>688</v>
      </c>
      <c r="H235" t="s">
        <v>2</v>
      </c>
      <c r="I235" t="s">
        <v>1</v>
      </c>
      <c r="J235" t="s">
        <v>16</v>
      </c>
    </row>
    <row r="236" spans="1:10" x14ac:dyDescent="0.2">
      <c r="A236" t="s">
        <v>74</v>
      </c>
      <c r="B236">
        <v>0</v>
      </c>
      <c r="C236">
        <f t="shared" si="3"/>
        <v>1</v>
      </c>
      <c r="F236" t="s">
        <v>9</v>
      </c>
      <c r="G236" t="s">
        <v>688</v>
      </c>
      <c r="H236" t="s">
        <v>1</v>
      </c>
      <c r="I236" t="s">
        <v>1</v>
      </c>
      <c r="J236" t="s">
        <v>16</v>
      </c>
    </row>
    <row r="237" spans="1:10" x14ac:dyDescent="0.2">
      <c r="A237" t="s">
        <v>75</v>
      </c>
      <c r="B237">
        <v>0</v>
      </c>
      <c r="C237">
        <f t="shared" si="3"/>
        <v>1</v>
      </c>
      <c r="F237" t="s">
        <v>9</v>
      </c>
      <c r="G237" t="s">
        <v>688</v>
      </c>
      <c r="H237" t="s">
        <v>15</v>
      </c>
      <c r="I237" t="s">
        <v>1</v>
      </c>
      <c r="J237" t="s">
        <v>16</v>
      </c>
    </row>
    <row r="238" spans="1:10" x14ac:dyDescent="0.2">
      <c r="A238" t="s">
        <v>76</v>
      </c>
      <c r="B238">
        <v>0</v>
      </c>
      <c r="C238">
        <f t="shared" si="3"/>
        <v>1</v>
      </c>
      <c r="F238" t="s">
        <v>9</v>
      </c>
      <c r="G238" t="s">
        <v>688</v>
      </c>
      <c r="H238" t="s">
        <v>25</v>
      </c>
      <c r="I238" t="s">
        <v>1</v>
      </c>
      <c r="J238" t="s">
        <v>16</v>
      </c>
    </row>
    <row r="239" spans="1:10" x14ac:dyDescent="0.2">
      <c r="A239" t="s">
        <v>86</v>
      </c>
      <c r="B239">
        <v>1.9379999999999999</v>
      </c>
      <c r="C239">
        <f t="shared" si="3"/>
        <v>0.14399164527685901</v>
      </c>
      <c r="F239" t="s">
        <v>26</v>
      </c>
      <c r="G239" t="s">
        <v>688</v>
      </c>
      <c r="H239" t="s">
        <v>1</v>
      </c>
      <c r="I239" t="s">
        <v>1</v>
      </c>
      <c r="J239" t="s">
        <v>16</v>
      </c>
    </row>
    <row r="240" spans="1:10" x14ac:dyDescent="0.2">
      <c r="A240" t="s">
        <v>88</v>
      </c>
      <c r="B240">
        <v>0</v>
      </c>
      <c r="C240">
        <f t="shared" si="3"/>
        <v>1</v>
      </c>
      <c r="F240" t="s">
        <v>24</v>
      </c>
      <c r="G240" t="s">
        <v>688</v>
      </c>
      <c r="H240" t="s">
        <v>8</v>
      </c>
      <c r="I240" t="s">
        <v>1</v>
      </c>
      <c r="J240" t="s">
        <v>16</v>
      </c>
    </row>
    <row r="241" spans="1:10" x14ac:dyDescent="0.2">
      <c r="A241" t="s">
        <v>90</v>
      </c>
      <c r="B241">
        <v>0</v>
      </c>
      <c r="C241">
        <f t="shared" si="3"/>
        <v>1</v>
      </c>
      <c r="F241" t="s">
        <v>24</v>
      </c>
      <c r="G241" t="s">
        <v>688</v>
      </c>
      <c r="H241" t="s">
        <v>12</v>
      </c>
      <c r="I241" t="s">
        <v>1</v>
      </c>
      <c r="J241" t="s">
        <v>16</v>
      </c>
    </row>
    <row r="242" spans="1:10" x14ac:dyDescent="0.2">
      <c r="A242" t="s">
        <v>91</v>
      </c>
      <c r="B242">
        <v>0</v>
      </c>
      <c r="C242">
        <f t="shared" si="3"/>
        <v>1</v>
      </c>
      <c r="F242" t="s">
        <v>24</v>
      </c>
      <c r="G242" t="s">
        <v>688</v>
      </c>
      <c r="H242" t="s">
        <v>1</v>
      </c>
      <c r="I242" t="s">
        <v>1</v>
      </c>
      <c r="J242" t="s">
        <v>16</v>
      </c>
    </row>
    <row r="243" spans="1:10" x14ac:dyDescent="0.2">
      <c r="A243" t="s">
        <v>92</v>
      </c>
      <c r="B243">
        <v>0</v>
      </c>
      <c r="C243">
        <f t="shared" si="3"/>
        <v>1</v>
      </c>
      <c r="F243" t="s">
        <v>24</v>
      </c>
      <c r="G243" t="s">
        <v>688</v>
      </c>
      <c r="H243" t="s">
        <v>15</v>
      </c>
      <c r="I243" t="s">
        <v>1</v>
      </c>
      <c r="J243" t="s">
        <v>16</v>
      </c>
    </row>
    <row r="244" spans="1:10" x14ac:dyDescent="0.2">
      <c r="A244" t="s">
        <v>93</v>
      </c>
      <c r="B244">
        <v>0</v>
      </c>
      <c r="C244">
        <f t="shared" si="3"/>
        <v>1</v>
      </c>
      <c r="F244" t="s">
        <v>24</v>
      </c>
      <c r="G244" t="s">
        <v>688</v>
      </c>
      <c r="H244" t="s">
        <v>16</v>
      </c>
      <c r="I244" t="s">
        <v>1</v>
      </c>
      <c r="J244" t="s">
        <v>16</v>
      </c>
    </row>
    <row r="245" spans="1:10" x14ac:dyDescent="0.2">
      <c r="A245" t="s">
        <v>94</v>
      </c>
      <c r="B245">
        <v>0</v>
      </c>
      <c r="C245">
        <f t="shared" si="3"/>
        <v>1</v>
      </c>
      <c r="F245" t="s">
        <v>24</v>
      </c>
      <c r="G245" t="s">
        <v>688</v>
      </c>
      <c r="H245" t="s">
        <v>25</v>
      </c>
      <c r="I245" t="s">
        <v>1</v>
      </c>
      <c r="J245" t="s">
        <v>16</v>
      </c>
    </row>
    <row r="246" spans="1:10" x14ac:dyDescent="0.2">
      <c r="A246" t="s">
        <v>105</v>
      </c>
      <c r="B246">
        <v>0.66700000000000004</v>
      </c>
      <c r="C246">
        <f t="shared" si="3"/>
        <v>0.51324600851291879</v>
      </c>
      <c r="F246" t="s">
        <v>23</v>
      </c>
      <c r="G246" t="s">
        <v>688</v>
      </c>
      <c r="H246" t="s">
        <v>24</v>
      </c>
      <c r="I246" t="s">
        <v>1</v>
      </c>
      <c r="J246" t="s">
        <v>16</v>
      </c>
    </row>
    <row r="247" spans="1:10" x14ac:dyDescent="0.2">
      <c r="A247" t="s">
        <v>113</v>
      </c>
      <c r="B247">
        <v>0</v>
      </c>
      <c r="C247">
        <f t="shared" si="3"/>
        <v>1</v>
      </c>
      <c r="F247" t="s">
        <v>10</v>
      </c>
      <c r="G247" t="s">
        <v>688</v>
      </c>
      <c r="H247" t="s">
        <v>8</v>
      </c>
      <c r="I247" t="s">
        <v>1</v>
      </c>
      <c r="J247" t="s">
        <v>16</v>
      </c>
    </row>
    <row r="248" spans="1:10" x14ac:dyDescent="0.2">
      <c r="A248" t="s">
        <v>115</v>
      </c>
      <c r="B248">
        <v>0</v>
      </c>
      <c r="C248">
        <f t="shared" si="3"/>
        <v>1</v>
      </c>
      <c r="F248" t="s">
        <v>10</v>
      </c>
      <c r="G248" t="s">
        <v>688</v>
      </c>
      <c r="H248" t="s">
        <v>12</v>
      </c>
      <c r="I248" t="s">
        <v>1</v>
      </c>
      <c r="J248" t="s">
        <v>16</v>
      </c>
    </row>
    <row r="249" spans="1:10" x14ac:dyDescent="0.2">
      <c r="A249" t="s">
        <v>116</v>
      </c>
      <c r="B249">
        <v>0</v>
      </c>
      <c r="C249">
        <f t="shared" si="3"/>
        <v>1</v>
      </c>
      <c r="F249" t="s">
        <v>10</v>
      </c>
      <c r="G249" t="s">
        <v>688</v>
      </c>
      <c r="H249" t="s">
        <v>2</v>
      </c>
      <c r="I249" t="s">
        <v>1</v>
      </c>
      <c r="J249" t="s">
        <v>16</v>
      </c>
    </row>
    <row r="250" spans="1:10" x14ac:dyDescent="0.2">
      <c r="A250" t="s">
        <v>117</v>
      </c>
      <c r="B250">
        <v>0</v>
      </c>
      <c r="C250">
        <f t="shared" si="3"/>
        <v>1</v>
      </c>
      <c r="F250" t="s">
        <v>10</v>
      </c>
      <c r="G250" t="s">
        <v>688</v>
      </c>
      <c r="H250" t="s">
        <v>1</v>
      </c>
      <c r="I250" t="s">
        <v>1</v>
      </c>
      <c r="J250" t="s">
        <v>16</v>
      </c>
    </row>
    <row r="251" spans="1:10" x14ac:dyDescent="0.2">
      <c r="A251" t="s">
        <v>118</v>
      </c>
      <c r="B251">
        <v>0</v>
      </c>
      <c r="C251">
        <f t="shared" si="3"/>
        <v>1</v>
      </c>
      <c r="F251" t="s">
        <v>10</v>
      </c>
      <c r="G251" t="s">
        <v>688</v>
      </c>
      <c r="H251" t="s">
        <v>16</v>
      </c>
      <c r="I251" t="s">
        <v>1</v>
      </c>
      <c r="J251" t="s">
        <v>16</v>
      </c>
    </row>
    <row r="252" spans="1:10" x14ac:dyDescent="0.2">
      <c r="A252" t="s">
        <v>133</v>
      </c>
      <c r="B252">
        <v>0.79100000000000004</v>
      </c>
      <c r="C252">
        <f t="shared" si="3"/>
        <v>0.4533911773338492</v>
      </c>
      <c r="F252" t="s">
        <v>11</v>
      </c>
      <c r="G252" t="s">
        <v>688</v>
      </c>
      <c r="H252" t="s">
        <v>24</v>
      </c>
      <c r="I252" t="s">
        <v>1</v>
      </c>
      <c r="J252" t="s">
        <v>16</v>
      </c>
    </row>
    <row r="253" spans="1:10" x14ac:dyDescent="0.2">
      <c r="A253" t="s">
        <v>135</v>
      </c>
      <c r="B253">
        <v>0.79100000000000004</v>
      </c>
      <c r="C253">
        <f t="shared" si="3"/>
        <v>0.4533911773338492</v>
      </c>
      <c r="F253" t="s">
        <v>11</v>
      </c>
      <c r="G253" t="s">
        <v>688</v>
      </c>
      <c r="H253" t="s">
        <v>12</v>
      </c>
      <c r="I253" t="s">
        <v>1</v>
      </c>
      <c r="J253" t="s">
        <v>16</v>
      </c>
    </row>
    <row r="254" spans="1:10" x14ac:dyDescent="0.2">
      <c r="A254" t="s">
        <v>136</v>
      </c>
      <c r="B254">
        <v>0.79100000000000004</v>
      </c>
      <c r="C254">
        <f t="shared" si="3"/>
        <v>0.4533911773338492</v>
      </c>
      <c r="F254" t="s">
        <v>11</v>
      </c>
      <c r="G254" t="s">
        <v>688</v>
      </c>
      <c r="H254" t="s">
        <v>2</v>
      </c>
      <c r="I254" t="s">
        <v>1</v>
      </c>
      <c r="J254" t="s">
        <v>16</v>
      </c>
    </row>
    <row r="255" spans="1:10" x14ac:dyDescent="0.2">
      <c r="A255" t="s">
        <v>137</v>
      </c>
      <c r="B255">
        <v>0.79100000000000004</v>
      </c>
      <c r="C255">
        <f t="shared" si="3"/>
        <v>0.4533911773338492</v>
      </c>
      <c r="F255" t="s">
        <v>11</v>
      </c>
      <c r="G255" t="s">
        <v>688</v>
      </c>
      <c r="H255" t="s">
        <v>15</v>
      </c>
      <c r="I255" t="s">
        <v>1</v>
      </c>
      <c r="J255" t="s">
        <v>16</v>
      </c>
    </row>
    <row r="256" spans="1:10" x14ac:dyDescent="0.2">
      <c r="A256" t="s">
        <v>143</v>
      </c>
      <c r="B256">
        <v>0</v>
      </c>
      <c r="C256">
        <f t="shared" si="3"/>
        <v>1</v>
      </c>
      <c r="F256" t="s">
        <v>12</v>
      </c>
      <c r="G256" t="s">
        <v>688</v>
      </c>
      <c r="H256" t="s">
        <v>8</v>
      </c>
      <c r="I256" t="s">
        <v>1</v>
      </c>
      <c r="J256" t="s">
        <v>16</v>
      </c>
    </row>
    <row r="257" spans="1:10" x14ac:dyDescent="0.2">
      <c r="A257" t="s">
        <v>145</v>
      </c>
      <c r="B257">
        <v>0</v>
      </c>
      <c r="C257">
        <f t="shared" si="3"/>
        <v>1</v>
      </c>
      <c r="F257" t="s">
        <v>12</v>
      </c>
      <c r="G257" t="s">
        <v>688</v>
      </c>
      <c r="H257" t="s">
        <v>24</v>
      </c>
      <c r="I257" t="s">
        <v>1</v>
      </c>
      <c r="J257" t="s">
        <v>16</v>
      </c>
    </row>
    <row r="258" spans="1:10" x14ac:dyDescent="0.2">
      <c r="A258" t="s">
        <v>146</v>
      </c>
      <c r="B258">
        <v>0</v>
      </c>
      <c r="C258">
        <f t="shared" ref="C258:C321" si="4">EXP(-B258)</f>
        <v>1</v>
      </c>
      <c r="F258" t="s">
        <v>12</v>
      </c>
      <c r="G258" t="s">
        <v>688</v>
      </c>
      <c r="H258" t="s">
        <v>12</v>
      </c>
      <c r="I258" t="s">
        <v>1</v>
      </c>
      <c r="J258" t="s">
        <v>16</v>
      </c>
    </row>
    <row r="259" spans="1:10" x14ac:dyDescent="0.2">
      <c r="A259" t="s">
        <v>147</v>
      </c>
      <c r="B259">
        <v>0</v>
      </c>
      <c r="C259">
        <f t="shared" si="4"/>
        <v>1</v>
      </c>
      <c r="F259" t="s">
        <v>12</v>
      </c>
      <c r="G259" t="s">
        <v>688</v>
      </c>
      <c r="H259" t="s">
        <v>2</v>
      </c>
      <c r="I259" t="s">
        <v>1</v>
      </c>
      <c r="J259" t="s">
        <v>16</v>
      </c>
    </row>
    <row r="260" spans="1:10" x14ac:dyDescent="0.2">
      <c r="A260" t="s">
        <v>148</v>
      </c>
      <c r="B260">
        <v>0</v>
      </c>
      <c r="C260">
        <f t="shared" si="4"/>
        <v>1</v>
      </c>
      <c r="F260" t="s">
        <v>12</v>
      </c>
      <c r="G260" t="s">
        <v>688</v>
      </c>
      <c r="H260" t="s">
        <v>1</v>
      </c>
      <c r="I260" t="s">
        <v>1</v>
      </c>
      <c r="J260" t="s">
        <v>16</v>
      </c>
    </row>
    <row r="261" spans="1:10" x14ac:dyDescent="0.2">
      <c r="A261" t="s">
        <v>149</v>
      </c>
      <c r="B261">
        <v>0</v>
      </c>
      <c r="C261">
        <f t="shared" si="4"/>
        <v>1</v>
      </c>
      <c r="F261" t="s">
        <v>12</v>
      </c>
      <c r="G261" t="s">
        <v>688</v>
      </c>
      <c r="H261" t="s">
        <v>15</v>
      </c>
      <c r="I261" t="s">
        <v>1</v>
      </c>
      <c r="J261" t="s">
        <v>16</v>
      </c>
    </row>
    <row r="262" spans="1:10" x14ac:dyDescent="0.2">
      <c r="A262" t="s">
        <v>150</v>
      </c>
      <c r="B262">
        <v>0</v>
      </c>
      <c r="C262">
        <f t="shared" si="4"/>
        <v>1</v>
      </c>
      <c r="F262" t="s">
        <v>12</v>
      </c>
      <c r="G262" t="s">
        <v>688</v>
      </c>
      <c r="H262" t="s">
        <v>16</v>
      </c>
      <c r="I262" t="s">
        <v>1</v>
      </c>
      <c r="J262" t="s">
        <v>16</v>
      </c>
    </row>
    <row r="263" spans="1:10" x14ac:dyDescent="0.2">
      <c r="A263" t="s">
        <v>161</v>
      </c>
      <c r="B263">
        <v>0</v>
      </c>
      <c r="C263">
        <f t="shared" si="4"/>
        <v>1</v>
      </c>
      <c r="F263" t="s">
        <v>5</v>
      </c>
      <c r="G263" t="s">
        <v>688</v>
      </c>
      <c r="H263" t="s">
        <v>8</v>
      </c>
      <c r="I263" t="s">
        <v>1</v>
      </c>
      <c r="J263" t="s">
        <v>16</v>
      </c>
    </row>
    <row r="264" spans="1:10" x14ac:dyDescent="0.2">
      <c r="A264" t="s">
        <v>163</v>
      </c>
      <c r="B264">
        <v>0</v>
      </c>
      <c r="C264">
        <f t="shared" si="4"/>
        <v>1</v>
      </c>
      <c r="F264" t="s">
        <v>5</v>
      </c>
      <c r="G264" t="s">
        <v>688</v>
      </c>
      <c r="H264" t="s">
        <v>24</v>
      </c>
      <c r="I264" t="s">
        <v>1</v>
      </c>
      <c r="J264" t="s">
        <v>16</v>
      </c>
    </row>
    <row r="265" spans="1:10" x14ac:dyDescent="0.2">
      <c r="A265" t="s">
        <v>164</v>
      </c>
      <c r="B265">
        <v>0</v>
      </c>
      <c r="C265">
        <f t="shared" si="4"/>
        <v>1</v>
      </c>
      <c r="F265" t="s">
        <v>5</v>
      </c>
      <c r="G265" t="s">
        <v>688</v>
      </c>
      <c r="H265" t="s">
        <v>12</v>
      </c>
      <c r="I265" t="s">
        <v>1</v>
      </c>
      <c r="J265" t="s">
        <v>16</v>
      </c>
    </row>
    <row r="266" spans="1:10" x14ac:dyDescent="0.2">
      <c r="A266" t="s">
        <v>165</v>
      </c>
      <c r="B266">
        <v>0</v>
      </c>
      <c r="C266">
        <f t="shared" si="4"/>
        <v>1</v>
      </c>
      <c r="F266" t="s">
        <v>5</v>
      </c>
      <c r="G266" t="s">
        <v>688</v>
      </c>
      <c r="H266" t="s">
        <v>2</v>
      </c>
      <c r="I266" t="s">
        <v>1</v>
      </c>
      <c r="J266" t="s">
        <v>16</v>
      </c>
    </row>
    <row r="267" spans="1:10" x14ac:dyDescent="0.2">
      <c r="A267" t="s">
        <v>166</v>
      </c>
      <c r="B267">
        <v>0</v>
      </c>
      <c r="C267">
        <f t="shared" si="4"/>
        <v>1</v>
      </c>
      <c r="F267" t="s">
        <v>5</v>
      </c>
      <c r="G267" t="s">
        <v>688</v>
      </c>
      <c r="H267" t="s">
        <v>1</v>
      </c>
      <c r="I267" t="s">
        <v>1</v>
      </c>
      <c r="J267" t="s">
        <v>16</v>
      </c>
    </row>
    <row r="268" spans="1:10" x14ac:dyDescent="0.2">
      <c r="A268" t="s">
        <v>167</v>
      </c>
      <c r="B268">
        <v>0</v>
      </c>
      <c r="C268">
        <f t="shared" si="4"/>
        <v>1</v>
      </c>
      <c r="F268" t="s">
        <v>5</v>
      </c>
      <c r="G268" t="s">
        <v>688</v>
      </c>
      <c r="H268" t="s">
        <v>15</v>
      </c>
      <c r="I268" t="s">
        <v>1</v>
      </c>
      <c r="J268" t="s">
        <v>16</v>
      </c>
    </row>
    <row r="269" spans="1:10" x14ac:dyDescent="0.2">
      <c r="A269" t="s">
        <v>168</v>
      </c>
      <c r="B269">
        <v>0</v>
      </c>
      <c r="C269">
        <f t="shared" si="4"/>
        <v>1</v>
      </c>
      <c r="F269" t="s">
        <v>5</v>
      </c>
      <c r="G269" t="s">
        <v>688</v>
      </c>
      <c r="H269" t="s">
        <v>16</v>
      </c>
      <c r="I269" t="s">
        <v>1</v>
      </c>
      <c r="J269" t="s">
        <v>16</v>
      </c>
    </row>
    <row r="270" spans="1:10" x14ac:dyDescent="0.2">
      <c r="A270" t="s">
        <v>186</v>
      </c>
      <c r="B270">
        <v>0</v>
      </c>
      <c r="C270">
        <f t="shared" si="4"/>
        <v>1</v>
      </c>
      <c r="F270" t="s">
        <v>22</v>
      </c>
      <c r="G270" t="s">
        <v>688</v>
      </c>
      <c r="H270" t="s">
        <v>8</v>
      </c>
      <c r="I270" t="s">
        <v>1</v>
      </c>
      <c r="J270" t="s">
        <v>16</v>
      </c>
    </row>
    <row r="271" spans="1:10" x14ac:dyDescent="0.2">
      <c r="A271" t="s">
        <v>190</v>
      </c>
      <c r="B271">
        <v>0</v>
      </c>
      <c r="C271">
        <f t="shared" si="4"/>
        <v>1</v>
      </c>
      <c r="F271" t="s">
        <v>22</v>
      </c>
      <c r="G271" t="s">
        <v>688</v>
      </c>
      <c r="H271" t="s">
        <v>12</v>
      </c>
      <c r="I271" t="s">
        <v>1</v>
      </c>
      <c r="J271" t="s">
        <v>16</v>
      </c>
    </row>
    <row r="272" spans="1:10" x14ac:dyDescent="0.2">
      <c r="A272" t="s">
        <v>191</v>
      </c>
      <c r="B272">
        <v>0</v>
      </c>
      <c r="C272">
        <f t="shared" si="4"/>
        <v>1</v>
      </c>
      <c r="F272" t="s">
        <v>22</v>
      </c>
      <c r="G272" t="s">
        <v>688</v>
      </c>
      <c r="H272" t="s">
        <v>1</v>
      </c>
      <c r="I272" t="s">
        <v>1</v>
      </c>
      <c r="J272" t="s">
        <v>16</v>
      </c>
    </row>
    <row r="273" spans="1:10" x14ac:dyDescent="0.2">
      <c r="A273" t="s">
        <v>192</v>
      </c>
      <c r="B273">
        <v>0</v>
      </c>
      <c r="C273">
        <f t="shared" si="4"/>
        <v>1</v>
      </c>
      <c r="F273" t="s">
        <v>22</v>
      </c>
      <c r="G273" t="s">
        <v>688</v>
      </c>
      <c r="H273" t="s">
        <v>15</v>
      </c>
      <c r="I273" t="s">
        <v>1</v>
      </c>
      <c r="J273" t="s">
        <v>16</v>
      </c>
    </row>
    <row r="274" spans="1:10" x14ac:dyDescent="0.2">
      <c r="A274" t="s">
        <v>193</v>
      </c>
      <c r="B274">
        <v>0</v>
      </c>
      <c r="C274">
        <f t="shared" si="4"/>
        <v>1</v>
      </c>
      <c r="F274" t="s">
        <v>22</v>
      </c>
      <c r="G274" t="s">
        <v>688</v>
      </c>
      <c r="H274" t="s">
        <v>16</v>
      </c>
      <c r="I274" t="s">
        <v>1</v>
      </c>
      <c r="J274" t="s">
        <v>16</v>
      </c>
    </row>
    <row r="275" spans="1:10" x14ac:dyDescent="0.2">
      <c r="A275" t="s">
        <v>194</v>
      </c>
      <c r="B275">
        <v>0</v>
      </c>
      <c r="C275">
        <f t="shared" si="4"/>
        <v>1</v>
      </c>
      <c r="F275" t="s">
        <v>22</v>
      </c>
      <c r="G275" t="s">
        <v>688</v>
      </c>
      <c r="H275" t="s">
        <v>25</v>
      </c>
      <c r="I275" t="s">
        <v>1</v>
      </c>
      <c r="J275" t="s">
        <v>16</v>
      </c>
    </row>
    <row r="276" spans="1:10" x14ac:dyDescent="0.2">
      <c r="A276" t="s">
        <v>205</v>
      </c>
      <c r="B276">
        <v>0</v>
      </c>
      <c r="C276">
        <f t="shared" si="4"/>
        <v>1</v>
      </c>
      <c r="F276" t="s">
        <v>13</v>
      </c>
      <c r="G276" t="s">
        <v>688</v>
      </c>
      <c r="H276" t="s">
        <v>8</v>
      </c>
      <c r="I276" t="s">
        <v>1</v>
      </c>
      <c r="J276" t="s">
        <v>16</v>
      </c>
    </row>
    <row r="277" spans="1:10" x14ac:dyDescent="0.2">
      <c r="A277" t="s">
        <v>207</v>
      </c>
      <c r="B277">
        <v>0</v>
      </c>
      <c r="C277">
        <f t="shared" si="4"/>
        <v>1</v>
      </c>
      <c r="F277" t="s">
        <v>13</v>
      </c>
      <c r="G277" t="s">
        <v>688</v>
      </c>
      <c r="H277" t="s">
        <v>12</v>
      </c>
      <c r="I277" t="s">
        <v>1</v>
      </c>
      <c r="J277" t="s">
        <v>16</v>
      </c>
    </row>
    <row r="278" spans="1:10" x14ac:dyDescent="0.2">
      <c r="A278" t="s">
        <v>208</v>
      </c>
      <c r="B278">
        <v>0</v>
      </c>
      <c r="C278">
        <f t="shared" si="4"/>
        <v>1</v>
      </c>
      <c r="F278" t="s">
        <v>13</v>
      </c>
      <c r="G278" t="s">
        <v>688</v>
      </c>
      <c r="H278" t="s">
        <v>2</v>
      </c>
      <c r="I278" t="s">
        <v>1</v>
      </c>
      <c r="J278" t="s">
        <v>16</v>
      </c>
    </row>
    <row r="279" spans="1:10" x14ac:dyDescent="0.2">
      <c r="A279" t="s">
        <v>209</v>
      </c>
      <c r="B279">
        <v>0</v>
      </c>
      <c r="C279">
        <f t="shared" si="4"/>
        <v>1</v>
      </c>
      <c r="F279" t="s">
        <v>13</v>
      </c>
      <c r="G279" t="s">
        <v>688</v>
      </c>
      <c r="H279" t="s">
        <v>1</v>
      </c>
      <c r="I279" t="s">
        <v>1</v>
      </c>
      <c r="J279" t="s">
        <v>16</v>
      </c>
    </row>
    <row r="280" spans="1:10" x14ac:dyDescent="0.2">
      <c r="A280" t="s">
        <v>210</v>
      </c>
      <c r="B280">
        <v>0</v>
      </c>
      <c r="C280">
        <f t="shared" si="4"/>
        <v>1</v>
      </c>
      <c r="F280" t="s">
        <v>13</v>
      </c>
      <c r="G280" t="s">
        <v>688</v>
      </c>
      <c r="H280" t="s">
        <v>16</v>
      </c>
      <c r="I280" t="s">
        <v>1</v>
      </c>
      <c r="J280" t="s">
        <v>16</v>
      </c>
    </row>
    <row r="281" spans="1:10" x14ac:dyDescent="0.2">
      <c r="A281" t="s">
        <v>219</v>
      </c>
      <c r="B281">
        <v>0</v>
      </c>
      <c r="C281">
        <f t="shared" si="4"/>
        <v>1</v>
      </c>
      <c r="F281" t="s">
        <v>2</v>
      </c>
      <c r="G281" t="s">
        <v>688</v>
      </c>
      <c r="H281" t="s">
        <v>8</v>
      </c>
      <c r="I281" t="s">
        <v>1</v>
      </c>
      <c r="J281" t="s">
        <v>16</v>
      </c>
    </row>
    <row r="282" spans="1:10" x14ac:dyDescent="0.2">
      <c r="A282" t="s">
        <v>221</v>
      </c>
      <c r="B282">
        <v>0</v>
      </c>
      <c r="C282">
        <f t="shared" si="4"/>
        <v>1</v>
      </c>
      <c r="F282" t="s">
        <v>2</v>
      </c>
      <c r="G282" t="s">
        <v>688</v>
      </c>
      <c r="H282" t="s">
        <v>12</v>
      </c>
      <c r="I282" t="s">
        <v>1</v>
      </c>
      <c r="J282" t="s">
        <v>16</v>
      </c>
    </row>
    <row r="283" spans="1:10" x14ac:dyDescent="0.2">
      <c r="A283" t="s">
        <v>222</v>
      </c>
      <c r="B283">
        <v>0</v>
      </c>
      <c r="C283">
        <f t="shared" si="4"/>
        <v>1</v>
      </c>
      <c r="F283" t="s">
        <v>2</v>
      </c>
      <c r="G283" t="s">
        <v>688</v>
      </c>
      <c r="H283" t="s">
        <v>2</v>
      </c>
      <c r="I283" t="s">
        <v>1</v>
      </c>
      <c r="J283" t="s">
        <v>16</v>
      </c>
    </row>
    <row r="284" spans="1:10" x14ac:dyDescent="0.2">
      <c r="A284" t="s">
        <v>223</v>
      </c>
      <c r="B284">
        <v>0</v>
      </c>
      <c r="C284">
        <f t="shared" si="4"/>
        <v>1</v>
      </c>
      <c r="F284" t="s">
        <v>2</v>
      </c>
      <c r="G284" t="s">
        <v>688</v>
      </c>
      <c r="H284" t="s">
        <v>1</v>
      </c>
      <c r="I284" t="s">
        <v>1</v>
      </c>
      <c r="J284" t="s">
        <v>16</v>
      </c>
    </row>
    <row r="285" spans="1:10" x14ac:dyDescent="0.2">
      <c r="A285" t="s">
        <v>224</v>
      </c>
      <c r="B285">
        <v>0</v>
      </c>
      <c r="C285">
        <f t="shared" si="4"/>
        <v>1</v>
      </c>
      <c r="F285" t="s">
        <v>2</v>
      </c>
      <c r="G285" t="s">
        <v>688</v>
      </c>
      <c r="H285" t="s">
        <v>16</v>
      </c>
      <c r="I285" t="s">
        <v>1</v>
      </c>
      <c r="J285" t="s">
        <v>16</v>
      </c>
    </row>
    <row r="286" spans="1:10" x14ac:dyDescent="0.2">
      <c r="A286" t="s">
        <v>225</v>
      </c>
      <c r="B286">
        <v>0</v>
      </c>
      <c r="C286">
        <f t="shared" si="4"/>
        <v>1</v>
      </c>
      <c r="F286" t="s">
        <v>2</v>
      </c>
      <c r="G286" t="s">
        <v>688</v>
      </c>
      <c r="H286" t="s">
        <v>25</v>
      </c>
      <c r="I286" t="s">
        <v>1</v>
      </c>
      <c r="J286" t="s">
        <v>16</v>
      </c>
    </row>
    <row r="287" spans="1:10" x14ac:dyDescent="0.2">
      <c r="A287" t="s">
        <v>237</v>
      </c>
      <c r="B287">
        <v>0</v>
      </c>
      <c r="C287">
        <f t="shared" si="4"/>
        <v>1</v>
      </c>
      <c r="F287" t="s">
        <v>14</v>
      </c>
      <c r="G287" t="s">
        <v>688</v>
      </c>
      <c r="H287" t="s">
        <v>8</v>
      </c>
      <c r="I287" t="s">
        <v>1</v>
      </c>
      <c r="J287" t="s">
        <v>16</v>
      </c>
    </row>
    <row r="288" spans="1:10" x14ac:dyDescent="0.2">
      <c r="A288" t="s">
        <v>239</v>
      </c>
      <c r="B288">
        <v>0</v>
      </c>
      <c r="C288">
        <f t="shared" si="4"/>
        <v>1</v>
      </c>
      <c r="F288" t="s">
        <v>14</v>
      </c>
      <c r="G288" t="s">
        <v>688</v>
      </c>
      <c r="H288" t="s">
        <v>24</v>
      </c>
      <c r="I288" t="s">
        <v>1</v>
      </c>
      <c r="J288" t="s">
        <v>16</v>
      </c>
    </row>
    <row r="289" spans="1:10" x14ac:dyDescent="0.2">
      <c r="A289" t="s">
        <v>242</v>
      </c>
      <c r="B289">
        <v>0</v>
      </c>
      <c r="C289">
        <f t="shared" si="4"/>
        <v>1</v>
      </c>
      <c r="F289" t="s">
        <v>14</v>
      </c>
      <c r="G289" t="s">
        <v>688</v>
      </c>
      <c r="H289" t="s">
        <v>12</v>
      </c>
      <c r="I289" t="s">
        <v>1</v>
      </c>
      <c r="J289" t="s">
        <v>16</v>
      </c>
    </row>
    <row r="290" spans="1:10" x14ac:dyDescent="0.2">
      <c r="A290" t="s">
        <v>243</v>
      </c>
      <c r="B290">
        <v>0</v>
      </c>
      <c r="C290">
        <f t="shared" si="4"/>
        <v>1</v>
      </c>
      <c r="F290" t="s">
        <v>14</v>
      </c>
      <c r="G290" t="s">
        <v>688</v>
      </c>
      <c r="H290" t="s">
        <v>2</v>
      </c>
      <c r="I290" t="s">
        <v>1</v>
      </c>
      <c r="J290" t="s">
        <v>16</v>
      </c>
    </row>
    <row r="291" spans="1:10" x14ac:dyDescent="0.2">
      <c r="A291" t="s">
        <v>244</v>
      </c>
      <c r="B291">
        <v>0</v>
      </c>
      <c r="C291">
        <f t="shared" si="4"/>
        <v>1</v>
      </c>
      <c r="F291" t="s">
        <v>14</v>
      </c>
      <c r="G291" t="s">
        <v>688</v>
      </c>
      <c r="H291" t="s">
        <v>1</v>
      </c>
      <c r="I291" t="s">
        <v>1</v>
      </c>
      <c r="J291" t="s">
        <v>16</v>
      </c>
    </row>
    <row r="292" spans="1:10" x14ac:dyDescent="0.2">
      <c r="A292" t="s">
        <v>245</v>
      </c>
      <c r="B292">
        <v>0</v>
      </c>
      <c r="C292">
        <f t="shared" si="4"/>
        <v>1</v>
      </c>
      <c r="F292" t="s">
        <v>14</v>
      </c>
      <c r="G292" t="s">
        <v>688</v>
      </c>
      <c r="H292" t="s">
        <v>15</v>
      </c>
      <c r="I292" t="s">
        <v>1</v>
      </c>
      <c r="J292" t="s">
        <v>16</v>
      </c>
    </row>
    <row r="293" spans="1:10" x14ac:dyDescent="0.2">
      <c r="A293" t="s">
        <v>246</v>
      </c>
      <c r="B293">
        <v>0</v>
      </c>
      <c r="C293">
        <f t="shared" si="4"/>
        <v>1</v>
      </c>
      <c r="F293" t="s">
        <v>14</v>
      </c>
      <c r="G293" t="s">
        <v>688</v>
      </c>
      <c r="H293" t="s">
        <v>16</v>
      </c>
      <c r="I293" t="s">
        <v>1</v>
      </c>
      <c r="J293" t="s">
        <v>16</v>
      </c>
    </row>
    <row r="294" spans="1:10" x14ac:dyDescent="0.2">
      <c r="A294" t="s">
        <v>247</v>
      </c>
      <c r="B294">
        <v>0</v>
      </c>
      <c r="C294">
        <f t="shared" si="4"/>
        <v>1</v>
      </c>
      <c r="F294" t="s">
        <v>14</v>
      </c>
      <c r="G294" t="s">
        <v>688</v>
      </c>
      <c r="H294" t="s">
        <v>25</v>
      </c>
      <c r="I294" t="s">
        <v>1</v>
      </c>
      <c r="J294" t="s">
        <v>16</v>
      </c>
    </row>
    <row r="295" spans="1:10" x14ac:dyDescent="0.2">
      <c r="A295" t="s">
        <v>264</v>
      </c>
      <c r="B295">
        <v>0</v>
      </c>
      <c r="C295">
        <f t="shared" si="4"/>
        <v>1</v>
      </c>
      <c r="F295" t="s">
        <v>1</v>
      </c>
      <c r="G295" t="s">
        <v>688</v>
      </c>
      <c r="H295" t="s">
        <v>12</v>
      </c>
      <c r="I295" t="s">
        <v>1</v>
      </c>
      <c r="J295" t="s">
        <v>16</v>
      </c>
    </row>
    <row r="296" spans="1:10" x14ac:dyDescent="0.2">
      <c r="A296" t="s">
        <v>265</v>
      </c>
      <c r="B296">
        <v>0</v>
      </c>
      <c r="C296">
        <f t="shared" si="4"/>
        <v>1</v>
      </c>
      <c r="F296" t="s">
        <v>1</v>
      </c>
      <c r="G296" t="s">
        <v>688</v>
      </c>
      <c r="H296" t="s">
        <v>2</v>
      </c>
      <c r="I296" t="s">
        <v>1</v>
      </c>
      <c r="J296" t="s">
        <v>16</v>
      </c>
    </row>
    <row r="297" spans="1:10" x14ac:dyDescent="0.2">
      <c r="A297" t="s">
        <v>266</v>
      </c>
      <c r="B297">
        <v>0</v>
      </c>
      <c r="C297">
        <f t="shared" si="4"/>
        <v>1</v>
      </c>
      <c r="F297" t="s">
        <v>1</v>
      </c>
      <c r="G297" t="s">
        <v>688</v>
      </c>
      <c r="H297" t="s">
        <v>1</v>
      </c>
      <c r="I297" t="s">
        <v>1</v>
      </c>
      <c r="J297" t="s">
        <v>16</v>
      </c>
    </row>
    <row r="298" spans="1:10" x14ac:dyDescent="0.2">
      <c r="A298" t="s">
        <v>267</v>
      </c>
      <c r="B298">
        <v>0</v>
      </c>
      <c r="C298">
        <f t="shared" si="4"/>
        <v>1</v>
      </c>
      <c r="F298" t="s">
        <v>1</v>
      </c>
      <c r="G298" t="s">
        <v>688</v>
      </c>
      <c r="H298" t="s">
        <v>16</v>
      </c>
      <c r="I298" t="s">
        <v>1</v>
      </c>
      <c r="J298" t="s">
        <v>16</v>
      </c>
    </row>
    <row r="299" spans="1:10" x14ac:dyDescent="0.2">
      <c r="A299" t="s">
        <v>268</v>
      </c>
      <c r="B299">
        <v>0</v>
      </c>
      <c r="C299">
        <f t="shared" si="4"/>
        <v>1</v>
      </c>
      <c r="F299" t="s">
        <v>1</v>
      </c>
      <c r="G299" t="s">
        <v>688</v>
      </c>
      <c r="H299" t="s">
        <v>25</v>
      </c>
      <c r="I299" t="s">
        <v>1</v>
      </c>
      <c r="J299" t="s">
        <v>16</v>
      </c>
    </row>
    <row r="300" spans="1:10" x14ac:dyDescent="0.2">
      <c r="A300" t="s">
        <v>282</v>
      </c>
      <c r="B300">
        <v>0.74199999999999999</v>
      </c>
      <c r="C300">
        <f t="shared" si="4"/>
        <v>0.47616064128198943</v>
      </c>
      <c r="F300" t="s">
        <v>15</v>
      </c>
      <c r="G300" t="s">
        <v>688</v>
      </c>
      <c r="H300" t="s">
        <v>24</v>
      </c>
      <c r="I300" t="s">
        <v>1</v>
      </c>
      <c r="J300" t="s">
        <v>16</v>
      </c>
    </row>
    <row r="301" spans="1:10" x14ac:dyDescent="0.2">
      <c r="A301" t="s">
        <v>283</v>
      </c>
      <c r="B301">
        <v>0.74199999999999999</v>
      </c>
      <c r="C301">
        <f t="shared" si="4"/>
        <v>0.47616064128198943</v>
      </c>
      <c r="F301" t="s">
        <v>15</v>
      </c>
      <c r="G301" t="s">
        <v>688</v>
      </c>
      <c r="H301" t="s">
        <v>12</v>
      </c>
      <c r="I301" t="s">
        <v>1</v>
      </c>
      <c r="J301" t="s">
        <v>16</v>
      </c>
    </row>
    <row r="302" spans="1:10" x14ac:dyDescent="0.2">
      <c r="A302" t="s">
        <v>284</v>
      </c>
      <c r="B302">
        <v>0.74199999999999999</v>
      </c>
      <c r="C302">
        <f t="shared" si="4"/>
        <v>0.47616064128198943</v>
      </c>
      <c r="F302" t="s">
        <v>15</v>
      </c>
      <c r="G302" t="s">
        <v>688</v>
      </c>
      <c r="H302" t="s">
        <v>2</v>
      </c>
      <c r="I302" t="s">
        <v>1</v>
      </c>
      <c r="J302" t="s">
        <v>16</v>
      </c>
    </row>
    <row r="303" spans="1:10" x14ac:dyDescent="0.2">
      <c r="A303" t="s">
        <v>285</v>
      </c>
      <c r="B303">
        <v>0.74199999999999999</v>
      </c>
      <c r="C303">
        <f t="shared" si="4"/>
        <v>0.47616064128198943</v>
      </c>
      <c r="F303" t="s">
        <v>15</v>
      </c>
      <c r="G303" t="s">
        <v>688</v>
      </c>
      <c r="H303" t="s">
        <v>16</v>
      </c>
      <c r="I303" t="s">
        <v>1</v>
      </c>
      <c r="J303" t="s">
        <v>16</v>
      </c>
    </row>
    <row r="304" spans="1:10" x14ac:dyDescent="0.2">
      <c r="A304" t="s">
        <v>296</v>
      </c>
      <c r="B304">
        <v>0</v>
      </c>
      <c r="C304">
        <f t="shared" si="4"/>
        <v>1</v>
      </c>
      <c r="F304" t="s">
        <v>16</v>
      </c>
      <c r="G304" t="s">
        <v>688</v>
      </c>
      <c r="H304" t="s">
        <v>24</v>
      </c>
      <c r="I304" t="s">
        <v>1</v>
      </c>
      <c r="J304" t="s">
        <v>16</v>
      </c>
    </row>
    <row r="305" spans="1:10" x14ac:dyDescent="0.2">
      <c r="A305" t="s">
        <v>298</v>
      </c>
      <c r="B305">
        <v>0</v>
      </c>
      <c r="C305">
        <f t="shared" si="4"/>
        <v>1</v>
      </c>
      <c r="F305" t="s">
        <v>16</v>
      </c>
      <c r="G305" t="s">
        <v>688</v>
      </c>
      <c r="H305" t="s">
        <v>12</v>
      </c>
      <c r="I305" t="s">
        <v>1</v>
      </c>
      <c r="J305" t="s">
        <v>16</v>
      </c>
    </row>
    <row r="306" spans="1:10" x14ac:dyDescent="0.2">
      <c r="A306" t="s">
        <v>299</v>
      </c>
      <c r="B306">
        <v>0</v>
      </c>
      <c r="C306">
        <f t="shared" si="4"/>
        <v>1</v>
      </c>
      <c r="F306" t="s">
        <v>16</v>
      </c>
      <c r="G306" t="s">
        <v>688</v>
      </c>
      <c r="H306" t="s">
        <v>2</v>
      </c>
      <c r="I306" t="s">
        <v>1</v>
      </c>
      <c r="J306" t="s">
        <v>16</v>
      </c>
    </row>
    <row r="307" spans="1:10" x14ac:dyDescent="0.2">
      <c r="A307" t="s">
        <v>300</v>
      </c>
      <c r="B307">
        <v>0</v>
      </c>
      <c r="C307">
        <f t="shared" si="4"/>
        <v>1</v>
      </c>
      <c r="F307" t="s">
        <v>16</v>
      </c>
      <c r="G307" t="s">
        <v>688</v>
      </c>
      <c r="H307" t="s">
        <v>15</v>
      </c>
      <c r="I307" t="s">
        <v>1</v>
      </c>
      <c r="J307" t="s">
        <v>16</v>
      </c>
    </row>
    <row r="308" spans="1:10" x14ac:dyDescent="0.2">
      <c r="A308" t="s">
        <v>301</v>
      </c>
      <c r="B308">
        <v>0</v>
      </c>
      <c r="C308">
        <f t="shared" si="4"/>
        <v>1</v>
      </c>
      <c r="F308" t="s">
        <v>16</v>
      </c>
      <c r="G308" t="s">
        <v>688</v>
      </c>
      <c r="H308" t="s">
        <v>16</v>
      </c>
      <c r="I308" t="s">
        <v>1</v>
      </c>
      <c r="J308" t="s">
        <v>16</v>
      </c>
    </row>
    <row r="309" spans="1:10" x14ac:dyDescent="0.2">
      <c r="A309" t="s">
        <v>313</v>
      </c>
      <c r="B309">
        <v>1.2729999999999999</v>
      </c>
      <c r="C309">
        <f t="shared" si="4"/>
        <v>0.27999038939254761</v>
      </c>
      <c r="F309" t="s">
        <v>25</v>
      </c>
      <c r="G309" t="s">
        <v>688</v>
      </c>
      <c r="H309" t="s">
        <v>12</v>
      </c>
      <c r="I309" t="s">
        <v>1</v>
      </c>
      <c r="J309" t="s">
        <v>16</v>
      </c>
    </row>
    <row r="310" spans="1:10" x14ac:dyDescent="0.2">
      <c r="A310" t="s">
        <v>318</v>
      </c>
      <c r="B310">
        <v>0.63300000000000001</v>
      </c>
      <c r="C310">
        <f t="shared" si="4"/>
        <v>0.53099641987211432</v>
      </c>
      <c r="F310" t="s">
        <v>17</v>
      </c>
      <c r="G310" t="s">
        <v>688</v>
      </c>
      <c r="H310" t="s">
        <v>12</v>
      </c>
      <c r="I310" t="s">
        <v>1</v>
      </c>
      <c r="J310" t="s">
        <v>16</v>
      </c>
    </row>
    <row r="311" spans="1:10" x14ac:dyDescent="0.2">
      <c r="A311" t="s">
        <v>319</v>
      </c>
      <c r="B311">
        <v>0.63300000000000001</v>
      </c>
      <c r="C311">
        <f t="shared" si="4"/>
        <v>0.53099641987211432</v>
      </c>
      <c r="F311" t="s">
        <v>17</v>
      </c>
      <c r="G311" t="s">
        <v>688</v>
      </c>
      <c r="H311" t="s">
        <v>1</v>
      </c>
      <c r="I311" t="s">
        <v>1</v>
      </c>
      <c r="J311" t="s">
        <v>16</v>
      </c>
    </row>
    <row r="312" spans="1:10" x14ac:dyDescent="0.2">
      <c r="A312" t="s">
        <v>320</v>
      </c>
      <c r="B312">
        <v>0.63300000000000001</v>
      </c>
      <c r="C312">
        <f t="shared" si="4"/>
        <v>0.53099641987211432</v>
      </c>
      <c r="F312" t="s">
        <v>17</v>
      </c>
      <c r="G312" t="s">
        <v>688</v>
      </c>
      <c r="H312" t="s">
        <v>15</v>
      </c>
      <c r="I312" t="s">
        <v>1</v>
      </c>
      <c r="J312" t="s">
        <v>16</v>
      </c>
    </row>
    <row r="313" spans="1:10" x14ac:dyDescent="0.2">
      <c r="A313" t="s">
        <v>321</v>
      </c>
      <c r="B313">
        <v>0.63300000000000001</v>
      </c>
      <c r="C313">
        <f t="shared" si="4"/>
        <v>0.53099641987211432</v>
      </c>
      <c r="F313" t="s">
        <v>17</v>
      </c>
      <c r="G313" t="s">
        <v>688</v>
      </c>
      <c r="H313" t="s">
        <v>16</v>
      </c>
      <c r="I313" t="s">
        <v>1</v>
      </c>
      <c r="J313" t="s">
        <v>16</v>
      </c>
    </row>
    <row r="314" spans="1:10" x14ac:dyDescent="0.2">
      <c r="A314" t="s">
        <v>330</v>
      </c>
      <c r="B314">
        <v>0</v>
      </c>
      <c r="C314">
        <f t="shared" si="4"/>
        <v>1</v>
      </c>
      <c r="F314" t="s">
        <v>18</v>
      </c>
      <c r="G314" t="s">
        <v>688</v>
      </c>
      <c r="H314" t="s">
        <v>8</v>
      </c>
      <c r="I314" t="s">
        <v>1</v>
      </c>
      <c r="J314" t="s">
        <v>16</v>
      </c>
    </row>
    <row r="315" spans="1:10" x14ac:dyDescent="0.2">
      <c r="A315" t="s">
        <v>332</v>
      </c>
      <c r="B315">
        <v>0</v>
      </c>
      <c r="C315">
        <f t="shared" si="4"/>
        <v>1</v>
      </c>
      <c r="F315" t="s">
        <v>18</v>
      </c>
      <c r="G315" t="s">
        <v>688</v>
      </c>
      <c r="H315" t="s">
        <v>24</v>
      </c>
      <c r="I315" t="s">
        <v>1</v>
      </c>
      <c r="J315" t="s">
        <v>16</v>
      </c>
    </row>
    <row r="316" spans="1:10" x14ac:dyDescent="0.2">
      <c r="A316" t="s">
        <v>334</v>
      </c>
      <c r="B316">
        <v>0</v>
      </c>
      <c r="C316">
        <f t="shared" si="4"/>
        <v>1</v>
      </c>
      <c r="F316" t="s">
        <v>18</v>
      </c>
      <c r="G316" t="s">
        <v>688</v>
      </c>
      <c r="H316" t="s">
        <v>12</v>
      </c>
      <c r="I316" t="s">
        <v>1</v>
      </c>
      <c r="J316" t="s">
        <v>16</v>
      </c>
    </row>
    <row r="317" spans="1:10" x14ac:dyDescent="0.2">
      <c r="A317" t="s">
        <v>335</v>
      </c>
      <c r="B317">
        <v>0</v>
      </c>
      <c r="C317">
        <f t="shared" si="4"/>
        <v>1</v>
      </c>
      <c r="F317" t="s">
        <v>18</v>
      </c>
      <c r="G317" t="s">
        <v>688</v>
      </c>
      <c r="H317" t="s">
        <v>2</v>
      </c>
      <c r="I317" t="s">
        <v>1</v>
      </c>
      <c r="J317" t="s">
        <v>16</v>
      </c>
    </row>
    <row r="318" spans="1:10" x14ac:dyDescent="0.2">
      <c r="A318" t="s">
        <v>336</v>
      </c>
      <c r="B318">
        <v>0</v>
      </c>
      <c r="C318">
        <f t="shared" si="4"/>
        <v>1</v>
      </c>
      <c r="F318" t="s">
        <v>18</v>
      </c>
      <c r="G318" t="s">
        <v>688</v>
      </c>
      <c r="H318" t="s">
        <v>1</v>
      </c>
      <c r="I318" t="s">
        <v>1</v>
      </c>
      <c r="J318" t="s">
        <v>16</v>
      </c>
    </row>
    <row r="319" spans="1:10" x14ac:dyDescent="0.2">
      <c r="A319" t="s">
        <v>337</v>
      </c>
      <c r="B319">
        <v>0</v>
      </c>
      <c r="C319">
        <f t="shared" si="4"/>
        <v>1</v>
      </c>
      <c r="F319" t="s">
        <v>18</v>
      </c>
      <c r="G319" t="s">
        <v>688</v>
      </c>
      <c r="H319" t="s">
        <v>15</v>
      </c>
      <c r="I319" t="s">
        <v>1</v>
      </c>
      <c r="J319" t="s">
        <v>16</v>
      </c>
    </row>
    <row r="320" spans="1:10" x14ac:dyDescent="0.2">
      <c r="A320" t="s">
        <v>338</v>
      </c>
      <c r="B320">
        <v>0</v>
      </c>
      <c r="C320">
        <f t="shared" si="4"/>
        <v>1</v>
      </c>
      <c r="F320" t="s">
        <v>18</v>
      </c>
      <c r="G320" t="s">
        <v>688</v>
      </c>
      <c r="H320" t="s">
        <v>16</v>
      </c>
      <c r="I320" t="s">
        <v>1</v>
      </c>
      <c r="J320" t="s">
        <v>16</v>
      </c>
    </row>
    <row r="321" spans="1:12" x14ac:dyDescent="0.2">
      <c r="A321" t="s">
        <v>339</v>
      </c>
      <c r="B321">
        <v>0</v>
      </c>
      <c r="C321">
        <f t="shared" si="4"/>
        <v>1</v>
      </c>
      <c r="F321" t="s">
        <v>18</v>
      </c>
      <c r="G321" t="s">
        <v>688</v>
      </c>
      <c r="H321" t="s">
        <v>25</v>
      </c>
      <c r="I321" t="s">
        <v>1</v>
      </c>
      <c r="J321" t="s">
        <v>16</v>
      </c>
    </row>
    <row r="322" spans="1:12" x14ac:dyDescent="0.2">
      <c r="A322" t="s">
        <v>352</v>
      </c>
      <c r="B322">
        <v>2.8279999999999998</v>
      </c>
      <c r="C322">
        <f t="shared" ref="C322:C326" si="5">EXP(-B322)</f>
        <v>5.9130997481217251E-2</v>
      </c>
      <c r="F322" t="s">
        <v>19</v>
      </c>
      <c r="G322" t="s">
        <v>688</v>
      </c>
      <c r="H322" t="s">
        <v>2</v>
      </c>
      <c r="I322" t="s">
        <v>1</v>
      </c>
      <c r="J322" t="s">
        <v>16</v>
      </c>
    </row>
    <row r="323" spans="1:12" x14ac:dyDescent="0.2">
      <c r="A323" t="s">
        <v>353</v>
      </c>
      <c r="B323">
        <v>0.46899999999999997</v>
      </c>
      <c r="C323">
        <f t="shared" si="5"/>
        <v>0.62562758315631073</v>
      </c>
      <c r="F323" t="s">
        <v>20</v>
      </c>
      <c r="G323" t="s">
        <v>688</v>
      </c>
      <c r="H323" t="s">
        <v>8</v>
      </c>
      <c r="I323" t="s">
        <v>1</v>
      </c>
      <c r="J323" t="s">
        <v>16</v>
      </c>
    </row>
    <row r="324" spans="1:12" x14ac:dyDescent="0.2">
      <c r="A324" t="s">
        <v>354</v>
      </c>
      <c r="B324">
        <v>0.46899999999999997</v>
      </c>
      <c r="C324">
        <f t="shared" si="5"/>
        <v>0.62562758315631073</v>
      </c>
      <c r="F324" t="s">
        <v>20</v>
      </c>
      <c r="G324" t="s">
        <v>688</v>
      </c>
      <c r="H324" t="s">
        <v>24</v>
      </c>
      <c r="I324" t="s">
        <v>1</v>
      </c>
      <c r="J324" t="s">
        <v>16</v>
      </c>
    </row>
    <row r="325" spans="1:12" x14ac:dyDescent="0.2">
      <c r="A325" t="s">
        <v>356</v>
      </c>
      <c r="B325">
        <v>0.46899999999999997</v>
      </c>
      <c r="C325">
        <f t="shared" si="5"/>
        <v>0.62562758315631073</v>
      </c>
      <c r="F325" t="s">
        <v>20</v>
      </c>
      <c r="G325" t="s">
        <v>688</v>
      </c>
      <c r="H325" t="s">
        <v>12</v>
      </c>
      <c r="I325" t="s">
        <v>1</v>
      </c>
      <c r="J325" t="s">
        <v>16</v>
      </c>
    </row>
    <row r="326" spans="1:12" x14ac:dyDescent="0.2">
      <c r="A326" t="s">
        <v>357</v>
      </c>
      <c r="B326">
        <v>0.46899999999999997</v>
      </c>
      <c r="C326">
        <f t="shared" si="5"/>
        <v>0.62562758315631073</v>
      </c>
      <c r="F326" t="s">
        <v>20</v>
      </c>
      <c r="G326" t="s">
        <v>688</v>
      </c>
      <c r="H326" t="s">
        <v>2</v>
      </c>
      <c r="I326" t="s">
        <v>1</v>
      </c>
      <c r="J326" t="s">
        <v>16</v>
      </c>
      <c r="K326">
        <f>AVERAGE(C222:C326)</f>
        <v>0.87343560384998131</v>
      </c>
      <c r="L326">
        <f>STDEV(C222:C326)</f>
        <v>0.22803483894263318</v>
      </c>
    </row>
  </sheetData>
  <sortState xmlns:xlrd2="http://schemas.microsoft.com/office/spreadsheetml/2017/richdata2" ref="A2:J326">
    <sortCondition ref="I2:I326"/>
    <sortCondition ref="J2:J326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3DF1-8F6B-ED4C-8ABB-F254A8298A2C}">
  <dimension ref="A1:J325"/>
  <sheetViews>
    <sheetView topLeftCell="A45" workbookViewId="0">
      <selection activeCell="J76" sqref="J76"/>
    </sheetView>
  </sheetViews>
  <sheetFormatPr baseColWidth="10" defaultRowHeight="16" x14ac:dyDescent="0.2"/>
  <cols>
    <col min="4" max="4" width="3.5" bestFit="1" customWidth="1"/>
    <col min="5" max="5" width="6.1640625" customWidth="1"/>
    <col min="6" max="7" width="7.33203125" customWidth="1"/>
  </cols>
  <sheetData>
    <row r="1" spans="1:8" x14ac:dyDescent="0.2">
      <c r="A1" t="s">
        <v>715</v>
      </c>
      <c r="B1">
        <v>0.34699999999999998</v>
      </c>
      <c r="C1">
        <f>EXP(-B1)</f>
        <v>0.70680532825774944</v>
      </c>
      <c r="D1" t="s">
        <v>9</v>
      </c>
      <c r="E1" t="s">
        <v>689</v>
      </c>
      <c r="F1" t="s">
        <v>0</v>
      </c>
      <c r="G1" t="s">
        <v>5</v>
      </c>
      <c r="H1" t="s">
        <v>9</v>
      </c>
    </row>
    <row r="2" spans="1:8" x14ac:dyDescent="0.2">
      <c r="A2" t="s">
        <v>715</v>
      </c>
      <c r="B2">
        <v>0.34699999999999998</v>
      </c>
      <c r="C2">
        <f t="shared" ref="C2:C65" si="0">EXP(-B2)</f>
        <v>0.70680532825774944</v>
      </c>
      <c r="D2" t="s">
        <v>10</v>
      </c>
      <c r="E2" t="s">
        <v>689</v>
      </c>
      <c r="F2" t="s">
        <v>0</v>
      </c>
      <c r="G2" t="s">
        <v>5</v>
      </c>
      <c r="H2" t="s">
        <v>9</v>
      </c>
    </row>
    <row r="3" spans="1:8" x14ac:dyDescent="0.2">
      <c r="A3" t="s">
        <v>715</v>
      </c>
      <c r="B3">
        <v>0.34699999999999998</v>
      </c>
      <c r="C3">
        <f t="shared" si="0"/>
        <v>0.70680532825774944</v>
      </c>
      <c r="D3" t="s">
        <v>5</v>
      </c>
      <c r="E3" t="s">
        <v>689</v>
      </c>
      <c r="F3" t="s">
        <v>0</v>
      </c>
      <c r="G3" t="s">
        <v>5</v>
      </c>
      <c r="H3" t="s">
        <v>9</v>
      </c>
    </row>
    <row r="4" spans="1:8" x14ac:dyDescent="0.2">
      <c r="A4" t="s">
        <v>715</v>
      </c>
      <c r="B4">
        <v>0.34699999999999998</v>
      </c>
      <c r="C4">
        <f t="shared" si="0"/>
        <v>0.70680532825774944</v>
      </c>
      <c r="D4" t="s">
        <v>13</v>
      </c>
      <c r="E4" t="s">
        <v>689</v>
      </c>
      <c r="F4" t="s">
        <v>0</v>
      </c>
      <c r="G4" t="s">
        <v>5</v>
      </c>
      <c r="H4" t="s">
        <v>9</v>
      </c>
    </row>
    <row r="5" spans="1:8" x14ac:dyDescent="0.2">
      <c r="A5" t="s">
        <v>715</v>
      </c>
      <c r="B5">
        <v>0.34699999999999998</v>
      </c>
      <c r="C5">
        <f t="shared" si="0"/>
        <v>0.70680532825774944</v>
      </c>
      <c r="D5" t="s">
        <v>14</v>
      </c>
      <c r="E5" t="s">
        <v>689</v>
      </c>
      <c r="F5" t="s">
        <v>0</v>
      </c>
      <c r="G5" t="s">
        <v>5</v>
      </c>
      <c r="H5" t="s">
        <v>9</v>
      </c>
    </row>
    <row r="6" spans="1:8" x14ac:dyDescent="0.2">
      <c r="A6" t="s">
        <v>715</v>
      </c>
      <c r="B6">
        <v>0.34699999999999998</v>
      </c>
      <c r="C6">
        <f t="shared" si="0"/>
        <v>0.70680532825774944</v>
      </c>
      <c r="D6" t="s">
        <v>1</v>
      </c>
      <c r="E6" t="s">
        <v>689</v>
      </c>
      <c r="F6" t="s">
        <v>0</v>
      </c>
      <c r="G6" t="s">
        <v>5</v>
      </c>
      <c r="H6" t="s">
        <v>9</v>
      </c>
    </row>
    <row r="7" spans="1:8" x14ac:dyDescent="0.2">
      <c r="A7" t="s">
        <v>715</v>
      </c>
      <c r="B7">
        <v>0.34699999999999998</v>
      </c>
      <c r="C7">
        <f t="shared" si="0"/>
        <v>0.70680532825774944</v>
      </c>
      <c r="D7" t="s">
        <v>18</v>
      </c>
      <c r="E7" t="s">
        <v>689</v>
      </c>
      <c r="F7" t="s">
        <v>0</v>
      </c>
      <c r="G7" t="s">
        <v>5</v>
      </c>
      <c r="H7" t="s">
        <v>9</v>
      </c>
    </row>
    <row r="8" spans="1:8" x14ac:dyDescent="0.2">
      <c r="A8" t="s">
        <v>715</v>
      </c>
      <c r="B8">
        <v>0.34699999999999998</v>
      </c>
      <c r="C8">
        <f t="shared" si="0"/>
        <v>0.70680532825774944</v>
      </c>
      <c r="D8" t="s">
        <v>20</v>
      </c>
      <c r="E8" t="s">
        <v>689</v>
      </c>
      <c r="F8" t="s">
        <v>0</v>
      </c>
      <c r="G8" t="s">
        <v>5</v>
      </c>
      <c r="H8" t="s">
        <v>9</v>
      </c>
    </row>
    <row r="9" spans="1:8" x14ac:dyDescent="0.2">
      <c r="A9" t="s">
        <v>707</v>
      </c>
      <c r="B9">
        <v>0</v>
      </c>
      <c r="C9">
        <f t="shared" si="0"/>
        <v>1</v>
      </c>
      <c r="D9" t="s">
        <v>0</v>
      </c>
      <c r="E9" t="s">
        <v>689</v>
      </c>
      <c r="F9" t="s">
        <v>9</v>
      </c>
      <c r="G9" t="s">
        <v>5</v>
      </c>
      <c r="H9" t="s">
        <v>9</v>
      </c>
    </row>
    <row r="10" spans="1:8" x14ac:dyDescent="0.2">
      <c r="A10" t="s">
        <v>707</v>
      </c>
      <c r="B10">
        <v>0</v>
      </c>
      <c r="C10">
        <f t="shared" si="0"/>
        <v>1</v>
      </c>
      <c r="D10" t="s">
        <v>9</v>
      </c>
      <c r="E10" t="s">
        <v>689</v>
      </c>
      <c r="F10" t="s">
        <v>9</v>
      </c>
      <c r="G10" t="s">
        <v>5</v>
      </c>
      <c r="H10" t="s">
        <v>9</v>
      </c>
    </row>
    <row r="11" spans="1:8" x14ac:dyDescent="0.2">
      <c r="A11" t="s">
        <v>707</v>
      </c>
      <c r="B11">
        <v>0</v>
      </c>
      <c r="C11">
        <f t="shared" si="0"/>
        <v>1</v>
      </c>
      <c r="D11" t="s">
        <v>24</v>
      </c>
      <c r="E11" t="s">
        <v>689</v>
      </c>
      <c r="F11" t="s">
        <v>9</v>
      </c>
      <c r="G11" t="s">
        <v>5</v>
      </c>
      <c r="H11" t="s">
        <v>9</v>
      </c>
    </row>
    <row r="12" spans="1:8" x14ac:dyDescent="0.2">
      <c r="A12" t="s">
        <v>707</v>
      </c>
      <c r="B12">
        <v>0</v>
      </c>
      <c r="C12">
        <f t="shared" si="0"/>
        <v>1</v>
      </c>
      <c r="D12" t="s">
        <v>23</v>
      </c>
      <c r="E12" t="s">
        <v>689</v>
      </c>
      <c r="F12" t="s">
        <v>9</v>
      </c>
      <c r="G12" t="s">
        <v>5</v>
      </c>
      <c r="H12" t="s">
        <v>9</v>
      </c>
    </row>
    <row r="13" spans="1:8" x14ac:dyDescent="0.2">
      <c r="A13" t="s">
        <v>707</v>
      </c>
      <c r="B13">
        <v>0</v>
      </c>
      <c r="C13">
        <f t="shared" si="0"/>
        <v>1</v>
      </c>
      <c r="D13" t="s">
        <v>10</v>
      </c>
      <c r="E13" t="s">
        <v>689</v>
      </c>
      <c r="F13" t="s">
        <v>9</v>
      </c>
      <c r="G13" t="s">
        <v>5</v>
      </c>
      <c r="H13" t="s">
        <v>9</v>
      </c>
    </row>
    <row r="14" spans="1:8" x14ac:dyDescent="0.2">
      <c r="A14" t="s">
        <v>707</v>
      </c>
      <c r="B14">
        <v>0</v>
      </c>
      <c r="C14">
        <f t="shared" si="0"/>
        <v>1</v>
      </c>
      <c r="D14" t="s">
        <v>12</v>
      </c>
      <c r="E14" t="s">
        <v>689</v>
      </c>
      <c r="F14" t="s">
        <v>9</v>
      </c>
      <c r="G14" t="s">
        <v>5</v>
      </c>
      <c r="H14" t="s">
        <v>9</v>
      </c>
    </row>
    <row r="15" spans="1:8" x14ac:dyDescent="0.2">
      <c r="A15" t="s">
        <v>707</v>
      </c>
      <c r="B15">
        <v>0</v>
      </c>
      <c r="C15">
        <f t="shared" si="0"/>
        <v>1</v>
      </c>
      <c r="D15" t="s">
        <v>5</v>
      </c>
      <c r="E15" t="s">
        <v>689</v>
      </c>
      <c r="F15" t="s">
        <v>9</v>
      </c>
      <c r="G15" t="s">
        <v>5</v>
      </c>
      <c r="H15" t="s">
        <v>9</v>
      </c>
    </row>
    <row r="16" spans="1:8" x14ac:dyDescent="0.2">
      <c r="A16" t="s">
        <v>707</v>
      </c>
      <c r="B16">
        <v>0</v>
      </c>
      <c r="C16">
        <f t="shared" si="0"/>
        <v>1</v>
      </c>
      <c r="D16" t="s">
        <v>22</v>
      </c>
      <c r="E16" t="s">
        <v>689</v>
      </c>
      <c r="F16" t="s">
        <v>9</v>
      </c>
      <c r="G16" t="s">
        <v>5</v>
      </c>
      <c r="H16" t="s">
        <v>9</v>
      </c>
    </row>
    <row r="17" spans="1:8" x14ac:dyDescent="0.2">
      <c r="A17" t="s">
        <v>707</v>
      </c>
      <c r="B17">
        <v>0</v>
      </c>
      <c r="C17">
        <f t="shared" si="0"/>
        <v>1</v>
      </c>
      <c r="D17" t="s">
        <v>13</v>
      </c>
      <c r="E17" t="s">
        <v>689</v>
      </c>
      <c r="F17" t="s">
        <v>9</v>
      </c>
      <c r="G17" t="s">
        <v>5</v>
      </c>
      <c r="H17" t="s">
        <v>9</v>
      </c>
    </row>
    <row r="18" spans="1:8" x14ac:dyDescent="0.2">
      <c r="A18" t="s">
        <v>707</v>
      </c>
      <c r="B18">
        <v>0</v>
      </c>
      <c r="C18">
        <f t="shared" si="0"/>
        <v>1</v>
      </c>
      <c r="D18" t="s">
        <v>2</v>
      </c>
      <c r="E18" t="s">
        <v>689</v>
      </c>
      <c r="F18" t="s">
        <v>9</v>
      </c>
      <c r="G18" t="s">
        <v>5</v>
      </c>
      <c r="H18" t="s">
        <v>9</v>
      </c>
    </row>
    <row r="19" spans="1:8" x14ac:dyDescent="0.2">
      <c r="A19" t="s">
        <v>707</v>
      </c>
      <c r="B19">
        <v>0</v>
      </c>
      <c r="C19">
        <f t="shared" si="0"/>
        <v>1</v>
      </c>
      <c r="D19" t="s">
        <v>14</v>
      </c>
      <c r="E19" t="s">
        <v>689</v>
      </c>
      <c r="F19" t="s">
        <v>9</v>
      </c>
      <c r="G19" t="s">
        <v>5</v>
      </c>
      <c r="H19" t="s">
        <v>9</v>
      </c>
    </row>
    <row r="20" spans="1:8" x14ac:dyDescent="0.2">
      <c r="A20" t="s">
        <v>707</v>
      </c>
      <c r="B20">
        <v>0</v>
      </c>
      <c r="C20">
        <f t="shared" si="0"/>
        <v>1</v>
      </c>
      <c r="D20" t="s">
        <v>1</v>
      </c>
      <c r="E20" t="s">
        <v>689</v>
      </c>
      <c r="F20" t="s">
        <v>9</v>
      </c>
      <c r="G20" t="s">
        <v>5</v>
      </c>
      <c r="H20" t="s">
        <v>9</v>
      </c>
    </row>
    <row r="21" spans="1:8" x14ac:dyDescent="0.2">
      <c r="A21" t="s">
        <v>707</v>
      </c>
      <c r="B21">
        <v>0</v>
      </c>
      <c r="C21">
        <f t="shared" si="0"/>
        <v>1</v>
      </c>
      <c r="D21" t="s">
        <v>16</v>
      </c>
      <c r="E21" t="s">
        <v>689</v>
      </c>
      <c r="F21" t="s">
        <v>9</v>
      </c>
      <c r="G21" t="s">
        <v>5</v>
      </c>
      <c r="H21" t="s">
        <v>9</v>
      </c>
    </row>
    <row r="22" spans="1:8" x14ac:dyDescent="0.2">
      <c r="A22" t="s">
        <v>707</v>
      </c>
      <c r="B22">
        <v>0</v>
      </c>
      <c r="C22">
        <f t="shared" si="0"/>
        <v>1</v>
      </c>
      <c r="D22" t="s">
        <v>25</v>
      </c>
      <c r="E22" t="s">
        <v>689</v>
      </c>
      <c r="F22" t="s">
        <v>9</v>
      </c>
      <c r="G22" t="s">
        <v>5</v>
      </c>
      <c r="H22" t="s">
        <v>9</v>
      </c>
    </row>
    <row r="23" spans="1:8" x14ac:dyDescent="0.2">
      <c r="A23" t="s">
        <v>707</v>
      </c>
      <c r="B23">
        <v>0</v>
      </c>
      <c r="C23">
        <f t="shared" si="0"/>
        <v>1</v>
      </c>
      <c r="D23" t="s">
        <v>18</v>
      </c>
      <c r="E23" t="s">
        <v>689</v>
      </c>
      <c r="F23" t="s">
        <v>9</v>
      </c>
      <c r="G23" t="s">
        <v>5</v>
      </c>
      <c r="H23" t="s">
        <v>9</v>
      </c>
    </row>
    <row r="24" spans="1:8" x14ac:dyDescent="0.2">
      <c r="A24" t="s">
        <v>723</v>
      </c>
      <c r="B24">
        <v>1.3660000000000001</v>
      </c>
      <c r="C24">
        <f t="shared" si="0"/>
        <v>0.25512542295987478</v>
      </c>
      <c r="D24" t="s">
        <v>1</v>
      </c>
      <c r="E24" t="s">
        <v>689</v>
      </c>
      <c r="F24" t="s">
        <v>26</v>
      </c>
      <c r="G24" t="s">
        <v>5</v>
      </c>
      <c r="H24" t="s">
        <v>9</v>
      </c>
    </row>
    <row r="25" spans="1:8" x14ac:dyDescent="0.2">
      <c r="A25" t="s">
        <v>723</v>
      </c>
      <c r="B25">
        <v>1.3660000000000001</v>
      </c>
      <c r="C25">
        <f t="shared" si="0"/>
        <v>0.25512542295987478</v>
      </c>
      <c r="D25" t="s">
        <v>15</v>
      </c>
      <c r="E25" t="s">
        <v>689</v>
      </c>
      <c r="F25" t="s">
        <v>26</v>
      </c>
      <c r="G25" t="s">
        <v>5</v>
      </c>
      <c r="H25" t="s">
        <v>9</v>
      </c>
    </row>
    <row r="26" spans="1:8" x14ac:dyDescent="0.2">
      <c r="A26" t="s">
        <v>723</v>
      </c>
      <c r="B26">
        <v>1.3660000000000001</v>
      </c>
      <c r="C26">
        <f t="shared" si="0"/>
        <v>0.25512542295987478</v>
      </c>
      <c r="D26" t="s">
        <v>16</v>
      </c>
      <c r="E26" t="s">
        <v>689</v>
      </c>
      <c r="F26" t="s">
        <v>26</v>
      </c>
      <c r="G26" t="s">
        <v>5</v>
      </c>
      <c r="H26" t="s">
        <v>9</v>
      </c>
    </row>
    <row r="27" spans="1:8" x14ac:dyDescent="0.2">
      <c r="A27" t="s">
        <v>716</v>
      </c>
      <c r="B27">
        <v>0</v>
      </c>
      <c r="C27">
        <f t="shared" si="0"/>
        <v>1</v>
      </c>
      <c r="D27" t="s">
        <v>9</v>
      </c>
      <c r="E27" t="s">
        <v>689</v>
      </c>
      <c r="F27" t="s">
        <v>23</v>
      </c>
      <c r="G27" t="s">
        <v>5</v>
      </c>
      <c r="H27" t="s">
        <v>9</v>
      </c>
    </row>
    <row r="28" spans="1:8" x14ac:dyDescent="0.2">
      <c r="A28" t="s">
        <v>716</v>
      </c>
      <c r="B28">
        <v>0</v>
      </c>
      <c r="C28">
        <f t="shared" si="0"/>
        <v>1</v>
      </c>
      <c r="D28" t="s">
        <v>24</v>
      </c>
      <c r="E28" t="s">
        <v>689</v>
      </c>
      <c r="F28" t="s">
        <v>23</v>
      </c>
      <c r="G28" t="s">
        <v>5</v>
      </c>
      <c r="H28" t="s">
        <v>9</v>
      </c>
    </row>
    <row r="29" spans="1:8" x14ac:dyDescent="0.2">
      <c r="A29" t="s">
        <v>716</v>
      </c>
      <c r="B29">
        <v>0</v>
      </c>
      <c r="C29">
        <f t="shared" si="0"/>
        <v>1</v>
      </c>
      <c r="D29" t="s">
        <v>10</v>
      </c>
      <c r="E29" t="s">
        <v>689</v>
      </c>
      <c r="F29" t="s">
        <v>23</v>
      </c>
      <c r="G29" t="s">
        <v>5</v>
      </c>
      <c r="H29" t="s">
        <v>9</v>
      </c>
    </row>
    <row r="30" spans="1:8" x14ac:dyDescent="0.2">
      <c r="A30" t="s">
        <v>716</v>
      </c>
      <c r="B30">
        <v>0</v>
      </c>
      <c r="C30">
        <f t="shared" si="0"/>
        <v>1</v>
      </c>
      <c r="D30" t="s">
        <v>5</v>
      </c>
      <c r="E30" t="s">
        <v>689</v>
      </c>
      <c r="F30" t="s">
        <v>23</v>
      </c>
      <c r="G30" t="s">
        <v>5</v>
      </c>
      <c r="H30" t="s">
        <v>9</v>
      </c>
    </row>
    <row r="31" spans="1:8" x14ac:dyDescent="0.2">
      <c r="A31" t="s">
        <v>716</v>
      </c>
      <c r="B31">
        <v>0</v>
      </c>
      <c r="C31">
        <f t="shared" si="0"/>
        <v>1</v>
      </c>
      <c r="D31" t="s">
        <v>2</v>
      </c>
      <c r="E31" t="s">
        <v>689</v>
      </c>
      <c r="F31" t="s">
        <v>23</v>
      </c>
      <c r="G31" t="s">
        <v>5</v>
      </c>
      <c r="H31" t="s">
        <v>9</v>
      </c>
    </row>
    <row r="32" spans="1:8" x14ac:dyDescent="0.2">
      <c r="A32" t="s">
        <v>716</v>
      </c>
      <c r="B32">
        <v>0</v>
      </c>
      <c r="C32">
        <f t="shared" si="0"/>
        <v>1</v>
      </c>
      <c r="D32" t="s">
        <v>14</v>
      </c>
      <c r="E32" t="s">
        <v>689</v>
      </c>
      <c r="F32" t="s">
        <v>23</v>
      </c>
      <c r="G32" t="s">
        <v>5</v>
      </c>
      <c r="H32" t="s">
        <v>9</v>
      </c>
    </row>
    <row r="33" spans="1:8" x14ac:dyDescent="0.2">
      <c r="A33" t="s">
        <v>716</v>
      </c>
      <c r="B33">
        <v>0</v>
      </c>
      <c r="C33">
        <f t="shared" si="0"/>
        <v>1</v>
      </c>
      <c r="D33" t="s">
        <v>1</v>
      </c>
      <c r="E33" t="s">
        <v>689</v>
      </c>
      <c r="F33" t="s">
        <v>23</v>
      </c>
      <c r="G33" t="s">
        <v>5</v>
      </c>
      <c r="H33" t="s">
        <v>9</v>
      </c>
    </row>
    <row r="34" spans="1:8" x14ac:dyDescent="0.2">
      <c r="A34" t="s">
        <v>716</v>
      </c>
      <c r="B34">
        <v>0</v>
      </c>
      <c r="C34">
        <f t="shared" si="0"/>
        <v>1</v>
      </c>
      <c r="D34" t="s">
        <v>16</v>
      </c>
      <c r="E34" t="s">
        <v>689</v>
      </c>
      <c r="F34" t="s">
        <v>23</v>
      </c>
      <c r="G34" t="s">
        <v>5</v>
      </c>
      <c r="H34" t="s">
        <v>9</v>
      </c>
    </row>
    <row r="35" spans="1:8" x14ac:dyDescent="0.2">
      <c r="A35" t="s">
        <v>716</v>
      </c>
      <c r="B35">
        <v>0</v>
      </c>
      <c r="C35">
        <f t="shared" si="0"/>
        <v>1</v>
      </c>
      <c r="D35" t="s">
        <v>17</v>
      </c>
      <c r="E35" t="s">
        <v>689</v>
      </c>
      <c r="F35" t="s">
        <v>23</v>
      </c>
      <c r="G35" t="s">
        <v>5</v>
      </c>
      <c r="H35" t="s">
        <v>9</v>
      </c>
    </row>
    <row r="36" spans="1:8" x14ac:dyDescent="0.2">
      <c r="A36" t="s">
        <v>716</v>
      </c>
      <c r="B36">
        <v>0</v>
      </c>
      <c r="C36">
        <f t="shared" si="0"/>
        <v>1</v>
      </c>
      <c r="D36" t="s">
        <v>20</v>
      </c>
      <c r="E36" t="s">
        <v>689</v>
      </c>
      <c r="F36" t="s">
        <v>23</v>
      </c>
      <c r="G36" t="s">
        <v>5</v>
      </c>
      <c r="H36" t="s">
        <v>9</v>
      </c>
    </row>
    <row r="37" spans="1:8" x14ac:dyDescent="0.2">
      <c r="A37" t="s">
        <v>718</v>
      </c>
      <c r="B37">
        <v>1.1859999999999999</v>
      </c>
      <c r="C37">
        <f t="shared" si="0"/>
        <v>0.30544058614135788</v>
      </c>
      <c r="D37" t="s">
        <v>24</v>
      </c>
      <c r="E37" t="s">
        <v>689</v>
      </c>
      <c r="F37" t="s">
        <v>11</v>
      </c>
      <c r="G37" t="s">
        <v>5</v>
      </c>
      <c r="H37" t="s">
        <v>9</v>
      </c>
    </row>
    <row r="38" spans="1:8" x14ac:dyDescent="0.2">
      <c r="A38" t="s">
        <v>718</v>
      </c>
      <c r="B38">
        <v>1.1859999999999999</v>
      </c>
      <c r="C38">
        <f t="shared" si="0"/>
        <v>0.30544058614135788</v>
      </c>
      <c r="D38" t="s">
        <v>10</v>
      </c>
      <c r="E38" t="s">
        <v>689</v>
      </c>
      <c r="F38" t="s">
        <v>11</v>
      </c>
      <c r="G38" t="s">
        <v>5</v>
      </c>
      <c r="H38" t="s">
        <v>9</v>
      </c>
    </row>
    <row r="39" spans="1:8" x14ac:dyDescent="0.2">
      <c r="A39" t="s">
        <v>718</v>
      </c>
      <c r="B39">
        <v>1.1859999999999999</v>
      </c>
      <c r="C39">
        <f t="shared" si="0"/>
        <v>0.30544058614135788</v>
      </c>
      <c r="D39" t="s">
        <v>5</v>
      </c>
      <c r="E39" t="s">
        <v>689</v>
      </c>
      <c r="F39" t="s">
        <v>11</v>
      </c>
      <c r="G39" t="s">
        <v>5</v>
      </c>
      <c r="H39" t="s">
        <v>9</v>
      </c>
    </row>
    <row r="40" spans="1:8" x14ac:dyDescent="0.2">
      <c r="A40" t="s">
        <v>718</v>
      </c>
      <c r="B40">
        <v>1.1859999999999999</v>
      </c>
      <c r="C40">
        <f t="shared" si="0"/>
        <v>0.30544058614135788</v>
      </c>
      <c r="D40" t="s">
        <v>14</v>
      </c>
      <c r="E40" t="s">
        <v>689</v>
      </c>
      <c r="F40" t="s">
        <v>11</v>
      </c>
      <c r="G40" t="s">
        <v>5</v>
      </c>
      <c r="H40" t="s">
        <v>9</v>
      </c>
    </row>
    <row r="41" spans="1:8" x14ac:dyDescent="0.2">
      <c r="A41" t="s">
        <v>718</v>
      </c>
      <c r="B41">
        <v>1.1859999999999999</v>
      </c>
      <c r="C41">
        <f t="shared" si="0"/>
        <v>0.30544058614135788</v>
      </c>
      <c r="D41" t="s">
        <v>1</v>
      </c>
      <c r="E41" t="s">
        <v>689</v>
      </c>
      <c r="F41" t="s">
        <v>11</v>
      </c>
      <c r="G41" t="s">
        <v>5</v>
      </c>
      <c r="H41" t="s">
        <v>9</v>
      </c>
    </row>
    <row r="42" spans="1:8" x14ac:dyDescent="0.2">
      <c r="A42" t="s">
        <v>718</v>
      </c>
      <c r="B42">
        <v>1.1859999999999999</v>
      </c>
      <c r="C42">
        <f t="shared" si="0"/>
        <v>0.30544058614135788</v>
      </c>
      <c r="D42" t="s">
        <v>18</v>
      </c>
      <c r="E42" t="s">
        <v>689</v>
      </c>
      <c r="F42" t="s">
        <v>11</v>
      </c>
      <c r="G42" t="s">
        <v>5</v>
      </c>
      <c r="H42" t="s">
        <v>9</v>
      </c>
    </row>
    <row r="43" spans="1:8" x14ac:dyDescent="0.2">
      <c r="A43" t="s">
        <v>712</v>
      </c>
      <c r="B43">
        <v>0.34699999999999998</v>
      </c>
      <c r="C43">
        <f t="shared" si="0"/>
        <v>0.70680532825774944</v>
      </c>
      <c r="D43" t="s">
        <v>0</v>
      </c>
      <c r="E43" t="s">
        <v>689</v>
      </c>
      <c r="F43" t="s">
        <v>17</v>
      </c>
      <c r="G43" t="s">
        <v>5</v>
      </c>
      <c r="H43" t="s">
        <v>9</v>
      </c>
    </row>
    <row r="44" spans="1:8" x14ac:dyDescent="0.2">
      <c r="A44" t="s">
        <v>712</v>
      </c>
      <c r="B44">
        <v>0.34699999999999998</v>
      </c>
      <c r="C44">
        <f t="shared" si="0"/>
        <v>0.70680532825774944</v>
      </c>
      <c r="D44" t="s">
        <v>10</v>
      </c>
      <c r="E44" t="s">
        <v>689</v>
      </c>
      <c r="F44" t="s">
        <v>17</v>
      </c>
      <c r="G44" t="s">
        <v>5</v>
      </c>
      <c r="H44" t="s">
        <v>9</v>
      </c>
    </row>
    <row r="45" spans="1:8" x14ac:dyDescent="0.2">
      <c r="A45" t="s">
        <v>712</v>
      </c>
      <c r="B45">
        <v>0.34699999999999998</v>
      </c>
      <c r="C45">
        <f t="shared" si="0"/>
        <v>0.70680532825774944</v>
      </c>
      <c r="D45" t="s">
        <v>5</v>
      </c>
      <c r="E45" t="s">
        <v>689</v>
      </c>
      <c r="F45" t="s">
        <v>17</v>
      </c>
      <c r="G45" t="s">
        <v>5</v>
      </c>
      <c r="H45" t="s">
        <v>9</v>
      </c>
    </row>
    <row r="46" spans="1:8" x14ac:dyDescent="0.2">
      <c r="A46" t="s">
        <v>712</v>
      </c>
      <c r="B46">
        <v>0.34699999999999998</v>
      </c>
      <c r="C46">
        <f t="shared" si="0"/>
        <v>0.70680532825774944</v>
      </c>
      <c r="D46" t="s">
        <v>22</v>
      </c>
      <c r="E46" t="s">
        <v>689</v>
      </c>
      <c r="F46" t="s">
        <v>17</v>
      </c>
      <c r="G46" t="s">
        <v>5</v>
      </c>
      <c r="H46" t="s">
        <v>9</v>
      </c>
    </row>
    <row r="47" spans="1:8" x14ac:dyDescent="0.2">
      <c r="A47" t="s">
        <v>712</v>
      </c>
      <c r="B47">
        <v>0.34699999999999998</v>
      </c>
      <c r="C47">
        <f t="shared" si="0"/>
        <v>0.70680532825774944</v>
      </c>
      <c r="D47" t="s">
        <v>13</v>
      </c>
      <c r="E47" t="s">
        <v>689</v>
      </c>
      <c r="F47" t="s">
        <v>17</v>
      </c>
      <c r="G47" t="s">
        <v>5</v>
      </c>
      <c r="H47" t="s">
        <v>9</v>
      </c>
    </row>
    <row r="48" spans="1:8" x14ac:dyDescent="0.2">
      <c r="A48" t="s">
        <v>712</v>
      </c>
      <c r="B48">
        <v>0.34699999999999998</v>
      </c>
      <c r="C48">
        <f t="shared" si="0"/>
        <v>0.70680532825774944</v>
      </c>
      <c r="D48" t="s">
        <v>2</v>
      </c>
      <c r="E48" t="s">
        <v>689</v>
      </c>
      <c r="F48" t="s">
        <v>17</v>
      </c>
      <c r="G48" t="s">
        <v>5</v>
      </c>
      <c r="H48" t="s">
        <v>9</v>
      </c>
    </row>
    <row r="49" spans="1:8" x14ac:dyDescent="0.2">
      <c r="A49" t="s">
        <v>712</v>
      </c>
      <c r="B49">
        <v>0.34699999999999998</v>
      </c>
      <c r="C49">
        <f t="shared" si="0"/>
        <v>0.70680532825774944</v>
      </c>
      <c r="D49" t="s">
        <v>14</v>
      </c>
      <c r="E49" t="s">
        <v>689</v>
      </c>
      <c r="F49" t="s">
        <v>17</v>
      </c>
      <c r="G49" t="s">
        <v>5</v>
      </c>
      <c r="H49" t="s">
        <v>9</v>
      </c>
    </row>
    <row r="50" spans="1:8" x14ac:dyDescent="0.2">
      <c r="A50" t="s">
        <v>712</v>
      </c>
      <c r="B50">
        <v>0.34699999999999998</v>
      </c>
      <c r="C50">
        <f t="shared" si="0"/>
        <v>0.70680532825774944</v>
      </c>
      <c r="D50" t="s">
        <v>15</v>
      </c>
      <c r="E50" t="s">
        <v>689</v>
      </c>
      <c r="F50" t="s">
        <v>17</v>
      </c>
      <c r="G50" t="s">
        <v>5</v>
      </c>
      <c r="H50" t="s">
        <v>9</v>
      </c>
    </row>
    <row r="51" spans="1:8" x14ac:dyDescent="0.2">
      <c r="A51" t="s">
        <v>712</v>
      </c>
      <c r="B51">
        <v>0.34699999999999998</v>
      </c>
      <c r="C51">
        <f t="shared" si="0"/>
        <v>0.70680532825774944</v>
      </c>
      <c r="D51" t="s">
        <v>17</v>
      </c>
      <c r="E51" t="s">
        <v>689</v>
      </c>
      <c r="F51" t="s">
        <v>17</v>
      </c>
      <c r="G51" t="s">
        <v>5</v>
      </c>
      <c r="H51" t="s">
        <v>9</v>
      </c>
    </row>
    <row r="52" spans="1:8" x14ac:dyDescent="0.2">
      <c r="A52" t="s">
        <v>712</v>
      </c>
      <c r="B52">
        <v>0.34699999999999998</v>
      </c>
      <c r="C52">
        <f t="shared" si="0"/>
        <v>0.70680532825774944</v>
      </c>
      <c r="D52" t="s">
        <v>18</v>
      </c>
      <c r="E52" t="s">
        <v>689</v>
      </c>
      <c r="F52" t="s">
        <v>17</v>
      </c>
      <c r="G52" t="s">
        <v>5</v>
      </c>
      <c r="H52" t="s">
        <v>9</v>
      </c>
    </row>
    <row r="53" spans="1:8" x14ac:dyDescent="0.2">
      <c r="A53" t="s">
        <v>713</v>
      </c>
      <c r="B53">
        <v>0</v>
      </c>
      <c r="C53">
        <f t="shared" si="0"/>
        <v>1</v>
      </c>
      <c r="D53" t="s">
        <v>0</v>
      </c>
      <c r="E53" t="s">
        <v>689</v>
      </c>
      <c r="F53" t="s">
        <v>20</v>
      </c>
      <c r="G53" t="s">
        <v>5</v>
      </c>
      <c r="H53" t="s">
        <v>9</v>
      </c>
    </row>
    <row r="54" spans="1:8" x14ac:dyDescent="0.2">
      <c r="A54" t="s">
        <v>713</v>
      </c>
      <c r="B54">
        <v>0</v>
      </c>
      <c r="C54">
        <f t="shared" si="0"/>
        <v>1</v>
      </c>
      <c r="D54" t="s">
        <v>8</v>
      </c>
      <c r="E54" t="s">
        <v>689</v>
      </c>
      <c r="F54" t="s">
        <v>20</v>
      </c>
      <c r="G54" t="s">
        <v>5</v>
      </c>
      <c r="H54" t="s">
        <v>9</v>
      </c>
    </row>
    <row r="55" spans="1:8" x14ac:dyDescent="0.2">
      <c r="A55" t="s">
        <v>713</v>
      </c>
      <c r="B55">
        <v>0</v>
      </c>
      <c r="C55">
        <f t="shared" si="0"/>
        <v>1</v>
      </c>
      <c r="D55" t="s">
        <v>9</v>
      </c>
      <c r="E55" t="s">
        <v>689</v>
      </c>
      <c r="F55" t="s">
        <v>20</v>
      </c>
      <c r="G55" t="s">
        <v>5</v>
      </c>
      <c r="H55" t="s">
        <v>9</v>
      </c>
    </row>
    <row r="56" spans="1:8" x14ac:dyDescent="0.2">
      <c r="A56" t="s">
        <v>713</v>
      </c>
      <c r="B56">
        <v>0</v>
      </c>
      <c r="C56">
        <f t="shared" si="0"/>
        <v>1</v>
      </c>
      <c r="D56" t="s">
        <v>26</v>
      </c>
      <c r="E56" t="s">
        <v>689</v>
      </c>
      <c r="F56" t="s">
        <v>20</v>
      </c>
      <c r="G56" t="s">
        <v>5</v>
      </c>
      <c r="H56" t="s">
        <v>9</v>
      </c>
    </row>
    <row r="57" spans="1:8" x14ac:dyDescent="0.2">
      <c r="A57" t="s">
        <v>713</v>
      </c>
      <c r="B57">
        <v>0</v>
      </c>
      <c r="C57">
        <f t="shared" si="0"/>
        <v>1</v>
      </c>
      <c r="D57" t="s">
        <v>24</v>
      </c>
      <c r="E57" t="s">
        <v>689</v>
      </c>
      <c r="F57" t="s">
        <v>20</v>
      </c>
      <c r="G57" t="s">
        <v>5</v>
      </c>
      <c r="H57" t="s">
        <v>9</v>
      </c>
    </row>
    <row r="58" spans="1:8" x14ac:dyDescent="0.2">
      <c r="A58" t="s">
        <v>713</v>
      </c>
      <c r="B58">
        <v>0</v>
      </c>
      <c r="C58">
        <f t="shared" si="0"/>
        <v>1</v>
      </c>
      <c r="D58" t="s">
        <v>23</v>
      </c>
      <c r="E58" t="s">
        <v>689</v>
      </c>
      <c r="F58" t="s">
        <v>20</v>
      </c>
      <c r="G58" t="s">
        <v>5</v>
      </c>
      <c r="H58" t="s">
        <v>9</v>
      </c>
    </row>
    <row r="59" spans="1:8" x14ac:dyDescent="0.2">
      <c r="A59" t="s">
        <v>713</v>
      </c>
      <c r="B59">
        <v>0</v>
      </c>
      <c r="C59">
        <f t="shared" si="0"/>
        <v>1</v>
      </c>
      <c r="D59" t="s">
        <v>10</v>
      </c>
      <c r="E59" t="s">
        <v>689</v>
      </c>
      <c r="F59" t="s">
        <v>20</v>
      </c>
      <c r="G59" t="s">
        <v>5</v>
      </c>
      <c r="H59" t="s">
        <v>9</v>
      </c>
    </row>
    <row r="60" spans="1:8" x14ac:dyDescent="0.2">
      <c r="A60" t="s">
        <v>713</v>
      </c>
      <c r="B60">
        <v>0</v>
      </c>
      <c r="C60">
        <f t="shared" si="0"/>
        <v>1</v>
      </c>
      <c r="D60" t="s">
        <v>11</v>
      </c>
      <c r="E60" t="s">
        <v>689</v>
      </c>
      <c r="F60" t="s">
        <v>20</v>
      </c>
      <c r="G60" t="s">
        <v>5</v>
      </c>
      <c r="H60" t="s">
        <v>9</v>
      </c>
    </row>
    <row r="61" spans="1:8" x14ac:dyDescent="0.2">
      <c r="A61" t="s">
        <v>713</v>
      </c>
      <c r="B61">
        <v>0</v>
      </c>
      <c r="C61">
        <f t="shared" si="0"/>
        <v>1</v>
      </c>
      <c r="D61" t="s">
        <v>12</v>
      </c>
      <c r="E61" t="s">
        <v>689</v>
      </c>
      <c r="F61" t="s">
        <v>20</v>
      </c>
      <c r="G61" t="s">
        <v>5</v>
      </c>
      <c r="H61" t="s">
        <v>9</v>
      </c>
    </row>
    <row r="62" spans="1:8" x14ac:dyDescent="0.2">
      <c r="A62" t="s">
        <v>713</v>
      </c>
      <c r="B62">
        <v>0</v>
      </c>
      <c r="C62">
        <f t="shared" si="0"/>
        <v>1</v>
      </c>
      <c r="D62" t="s">
        <v>5</v>
      </c>
      <c r="E62" t="s">
        <v>689</v>
      </c>
      <c r="F62" t="s">
        <v>20</v>
      </c>
      <c r="G62" t="s">
        <v>5</v>
      </c>
      <c r="H62" t="s">
        <v>9</v>
      </c>
    </row>
    <row r="63" spans="1:8" x14ac:dyDescent="0.2">
      <c r="A63" t="s">
        <v>713</v>
      </c>
      <c r="B63">
        <v>0</v>
      </c>
      <c r="C63">
        <f t="shared" si="0"/>
        <v>1</v>
      </c>
      <c r="D63" t="s">
        <v>22</v>
      </c>
      <c r="E63" t="s">
        <v>689</v>
      </c>
      <c r="F63" t="s">
        <v>20</v>
      </c>
      <c r="G63" t="s">
        <v>5</v>
      </c>
      <c r="H63" t="s">
        <v>9</v>
      </c>
    </row>
    <row r="64" spans="1:8" x14ac:dyDescent="0.2">
      <c r="A64" t="s">
        <v>713</v>
      </c>
      <c r="B64">
        <v>0</v>
      </c>
      <c r="C64">
        <f t="shared" si="0"/>
        <v>1</v>
      </c>
      <c r="D64" t="s">
        <v>13</v>
      </c>
      <c r="E64" t="s">
        <v>689</v>
      </c>
      <c r="F64" t="s">
        <v>20</v>
      </c>
      <c r="G64" t="s">
        <v>5</v>
      </c>
      <c r="H64" t="s">
        <v>9</v>
      </c>
    </row>
    <row r="65" spans="1:10" x14ac:dyDescent="0.2">
      <c r="A65" t="s">
        <v>713</v>
      </c>
      <c r="B65">
        <v>0</v>
      </c>
      <c r="C65">
        <f t="shared" si="0"/>
        <v>1</v>
      </c>
      <c r="D65" t="s">
        <v>2</v>
      </c>
      <c r="E65" t="s">
        <v>689</v>
      </c>
      <c r="F65" t="s">
        <v>20</v>
      </c>
      <c r="G65" t="s">
        <v>5</v>
      </c>
      <c r="H65" t="s">
        <v>9</v>
      </c>
    </row>
    <row r="66" spans="1:10" x14ac:dyDescent="0.2">
      <c r="A66" t="s">
        <v>713</v>
      </c>
      <c r="B66">
        <v>0</v>
      </c>
      <c r="C66">
        <f t="shared" ref="C66:C129" si="1">EXP(-B66)</f>
        <v>1</v>
      </c>
      <c r="D66" t="s">
        <v>14</v>
      </c>
      <c r="E66" t="s">
        <v>689</v>
      </c>
      <c r="F66" t="s">
        <v>20</v>
      </c>
      <c r="G66" t="s">
        <v>5</v>
      </c>
      <c r="H66" t="s">
        <v>9</v>
      </c>
    </row>
    <row r="67" spans="1:10" x14ac:dyDescent="0.2">
      <c r="A67" t="s">
        <v>713</v>
      </c>
      <c r="B67">
        <v>0</v>
      </c>
      <c r="C67">
        <f t="shared" si="1"/>
        <v>1</v>
      </c>
      <c r="D67" t="s">
        <v>1</v>
      </c>
      <c r="E67" t="s">
        <v>689</v>
      </c>
      <c r="F67" t="s">
        <v>20</v>
      </c>
      <c r="G67" t="s">
        <v>5</v>
      </c>
      <c r="H67" t="s">
        <v>9</v>
      </c>
    </row>
    <row r="68" spans="1:10" x14ac:dyDescent="0.2">
      <c r="A68" t="s">
        <v>713</v>
      </c>
      <c r="B68">
        <v>0</v>
      </c>
      <c r="C68">
        <f t="shared" si="1"/>
        <v>1</v>
      </c>
      <c r="D68" t="s">
        <v>16</v>
      </c>
      <c r="E68" t="s">
        <v>689</v>
      </c>
      <c r="F68" t="s">
        <v>20</v>
      </c>
      <c r="G68" t="s">
        <v>5</v>
      </c>
      <c r="H68" t="s">
        <v>9</v>
      </c>
    </row>
    <row r="69" spans="1:10" x14ac:dyDescent="0.2">
      <c r="A69" t="s">
        <v>713</v>
      </c>
      <c r="B69">
        <v>0</v>
      </c>
      <c r="C69">
        <f t="shared" si="1"/>
        <v>1</v>
      </c>
      <c r="D69" t="s">
        <v>25</v>
      </c>
      <c r="E69" t="s">
        <v>689</v>
      </c>
      <c r="F69" t="s">
        <v>20</v>
      </c>
      <c r="G69" t="s">
        <v>5</v>
      </c>
      <c r="H69" t="s">
        <v>9</v>
      </c>
    </row>
    <row r="70" spans="1:10" x14ac:dyDescent="0.2">
      <c r="A70" t="s">
        <v>713</v>
      </c>
      <c r="B70">
        <v>0</v>
      </c>
      <c r="C70">
        <f t="shared" si="1"/>
        <v>1</v>
      </c>
      <c r="D70" t="s">
        <v>17</v>
      </c>
      <c r="E70" t="s">
        <v>689</v>
      </c>
      <c r="F70" t="s">
        <v>20</v>
      </c>
      <c r="G70" t="s">
        <v>5</v>
      </c>
      <c r="H70" t="s">
        <v>9</v>
      </c>
    </row>
    <row r="71" spans="1:10" x14ac:dyDescent="0.2">
      <c r="A71" t="s">
        <v>713</v>
      </c>
      <c r="B71">
        <v>0</v>
      </c>
      <c r="C71">
        <f t="shared" si="1"/>
        <v>1</v>
      </c>
      <c r="D71" t="s">
        <v>18</v>
      </c>
      <c r="E71" t="s">
        <v>689</v>
      </c>
      <c r="F71" t="s">
        <v>20</v>
      </c>
      <c r="G71" t="s">
        <v>5</v>
      </c>
      <c r="H71" t="s">
        <v>9</v>
      </c>
    </row>
    <row r="72" spans="1:10" x14ac:dyDescent="0.2">
      <c r="A72" t="s">
        <v>713</v>
      </c>
      <c r="B72">
        <v>0</v>
      </c>
      <c r="C72">
        <f t="shared" si="1"/>
        <v>1</v>
      </c>
      <c r="D72" t="s">
        <v>20</v>
      </c>
      <c r="E72" t="s">
        <v>689</v>
      </c>
      <c r="F72" t="s">
        <v>20</v>
      </c>
      <c r="G72" t="s">
        <v>5</v>
      </c>
      <c r="H72" t="s">
        <v>9</v>
      </c>
      <c r="I72">
        <f>AVERAGE(C1:C72)</f>
        <v>0.83778494019954541</v>
      </c>
      <c r="J72">
        <f>STDEV(C1:C72)</f>
        <v>0.24355752183607923</v>
      </c>
    </row>
    <row r="73" spans="1:10" x14ac:dyDescent="0.2">
      <c r="A73" t="s">
        <v>706</v>
      </c>
      <c r="B73">
        <v>0</v>
      </c>
      <c r="C73">
        <f t="shared" si="1"/>
        <v>1</v>
      </c>
      <c r="D73" t="s">
        <v>0</v>
      </c>
      <c r="E73" t="s">
        <v>689</v>
      </c>
      <c r="F73" t="s">
        <v>8</v>
      </c>
      <c r="G73" t="s">
        <v>5</v>
      </c>
      <c r="H73" t="s">
        <v>16</v>
      </c>
    </row>
    <row r="74" spans="1:10" x14ac:dyDescent="0.2">
      <c r="A74" t="s">
        <v>706</v>
      </c>
      <c r="B74">
        <v>0</v>
      </c>
      <c r="C74">
        <f t="shared" si="1"/>
        <v>1</v>
      </c>
      <c r="D74" t="s">
        <v>8</v>
      </c>
      <c r="E74" t="s">
        <v>689</v>
      </c>
      <c r="F74" t="s">
        <v>8</v>
      </c>
      <c r="G74" t="s">
        <v>5</v>
      </c>
      <c r="H74" t="s">
        <v>16</v>
      </c>
    </row>
    <row r="75" spans="1:10" x14ac:dyDescent="0.2">
      <c r="A75" t="s">
        <v>706</v>
      </c>
      <c r="B75">
        <v>0</v>
      </c>
      <c r="C75">
        <f t="shared" si="1"/>
        <v>1</v>
      </c>
      <c r="D75" t="s">
        <v>9</v>
      </c>
      <c r="E75" t="s">
        <v>689</v>
      </c>
      <c r="F75" t="s">
        <v>8</v>
      </c>
      <c r="G75" t="s">
        <v>5</v>
      </c>
      <c r="H75" t="s">
        <v>16</v>
      </c>
    </row>
    <row r="76" spans="1:10" x14ac:dyDescent="0.2">
      <c r="A76" t="s">
        <v>706</v>
      </c>
      <c r="B76">
        <v>0</v>
      </c>
      <c r="C76">
        <f t="shared" si="1"/>
        <v>1</v>
      </c>
      <c r="D76" t="s">
        <v>12</v>
      </c>
      <c r="E76" t="s">
        <v>689</v>
      </c>
      <c r="F76" t="s">
        <v>8</v>
      </c>
      <c r="G76" t="s">
        <v>5</v>
      </c>
      <c r="H76" t="s">
        <v>16</v>
      </c>
    </row>
    <row r="77" spans="1:10" x14ac:dyDescent="0.2">
      <c r="A77" t="s">
        <v>706</v>
      </c>
      <c r="B77">
        <v>0</v>
      </c>
      <c r="C77">
        <f t="shared" si="1"/>
        <v>1</v>
      </c>
      <c r="D77" t="s">
        <v>5</v>
      </c>
      <c r="E77" t="s">
        <v>689</v>
      </c>
      <c r="F77" t="s">
        <v>8</v>
      </c>
      <c r="G77" t="s">
        <v>5</v>
      </c>
      <c r="H77" t="s">
        <v>16</v>
      </c>
    </row>
    <row r="78" spans="1:10" x14ac:dyDescent="0.2">
      <c r="A78" t="s">
        <v>706</v>
      </c>
      <c r="B78">
        <v>0</v>
      </c>
      <c r="C78">
        <f t="shared" si="1"/>
        <v>1</v>
      </c>
      <c r="D78" t="s">
        <v>22</v>
      </c>
      <c r="E78" t="s">
        <v>689</v>
      </c>
      <c r="F78" t="s">
        <v>8</v>
      </c>
      <c r="G78" t="s">
        <v>5</v>
      </c>
      <c r="H78" t="s">
        <v>16</v>
      </c>
    </row>
    <row r="79" spans="1:10" x14ac:dyDescent="0.2">
      <c r="A79" t="s">
        <v>706</v>
      </c>
      <c r="B79">
        <v>0</v>
      </c>
      <c r="C79">
        <f t="shared" si="1"/>
        <v>1</v>
      </c>
      <c r="D79" t="s">
        <v>2</v>
      </c>
      <c r="E79" t="s">
        <v>689</v>
      </c>
      <c r="F79" t="s">
        <v>8</v>
      </c>
      <c r="G79" t="s">
        <v>5</v>
      </c>
      <c r="H79" t="s">
        <v>16</v>
      </c>
    </row>
    <row r="80" spans="1:10" x14ac:dyDescent="0.2">
      <c r="A80" t="s">
        <v>706</v>
      </c>
      <c r="B80">
        <v>0</v>
      </c>
      <c r="C80">
        <f t="shared" si="1"/>
        <v>1</v>
      </c>
      <c r="D80" t="s">
        <v>14</v>
      </c>
      <c r="E80" t="s">
        <v>689</v>
      </c>
      <c r="F80" t="s">
        <v>8</v>
      </c>
      <c r="G80" t="s">
        <v>5</v>
      </c>
      <c r="H80" t="s">
        <v>16</v>
      </c>
    </row>
    <row r="81" spans="1:8" x14ac:dyDescent="0.2">
      <c r="A81" t="s">
        <v>706</v>
      </c>
      <c r="B81">
        <v>0</v>
      </c>
      <c r="C81">
        <f t="shared" si="1"/>
        <v>1</v>
      </c>
      <c r="D81" t="s">
        <v>16</v>
      </c>
      <c r="E81" t="s">
        <v>689</v>
      </c>
      <c r="F81" t="s">
        <v>8</v>
      </c>
      <c r="G81" t="s">
        <v>5</v>
      </c>
      <c r="H81" t="s">
        <v>16</v>
      </c>
    </row>
    <row r="82" spans="1:8" x14ac:dyDescent="0.2">
      <c r="A82" t="s">
        <v>706</v>
      </c>
      <c r="B82">
        <v>0</v>
      </c>
      <c r="C82">
        <f t="shared" si="1"/>
        <v>1</v>
      </c>
      <c r="D82" t="s">
        <v>17</v>
      </c>
      <c r="E82" t="s">
        <v>689</v>
      </c>
      <c r="F82" t="s">
        <v>8</v>
      </c>
      <c r="G82" t="s">
        <v>5</v>
      </c>
      <c r="H82" t="s">
        <v>16</v>
      </c>
    </row>
    <row r="83" spans="1:8" x14ac:dyDescent="0.2">
      <c r="A83" t="s">
        <v>706</v>
      </c>
      <c r="B83">
        <v>0</v>
      </c>
      <c r="C83">
        <f t="shared" si="1"/>
        <v>1</v>
      </c>
      <c r="D83" t="s">
        <v>18</v>
      </c>
      <c r="E83" t="s">
        <v>689</v>
      </c>
      <c r="F83" t="s">
        <v>8</v>
      </c>
      <c r="G83" t="s">
        <v>5</v>
      </c>
      <c r="H83" t="s">
        <v>16</v>
      </c>
    </row>
    <row r="84" spans="1:8" x14ac:dyDescent="0.2">
      <c r="A84" t="s">
        <v>708</v>
      </c>
      <c r="B84">
        <v>0</v>
      </c>
      <c r="C84">
        <f t="shared" si="1"/>
        <v>1</v>
      </c>
      <c r="D84" t="s">
        <v>0</v>
      </c>
      <c r="E84" t="s">
        <v>689</v>
      </c>
      <c r="F84" t="s">
        <v>24</v>
      </c>
      <c r="G84" t="s">
        <v>5</v>
      </c>
      <c r="H84" t="s">
        <v>16</v>
      </c>
    </row>
    <row r="85" spans="1:8" x14ac:dyDescent="0.2">
      <c r="A85" t="s">
        <v>708</v>
      </c>
      <c r="B85">
        <v>0</v>
      </c>
      <c r="C85">
        <f t="shared" si="1"/>
        <v>1</v>
      </c>
      <c r="D85" t="s">
        <v>8</v>
      </c>
      <c r="E85" t="s">
        <v>689</v>
      </c>
      <c r="F85" t="s">
        <v>24</v>
      </c>
      <c r="G85" t="s">
        <v>5</v>
      </c>
      <c r="H85" t="s">
        <v>16</v>
      </c>
    </row>
    <row r="86" spans="1:8" x14ac:dyDescent="0.2">
      <c r="A86" t="s">
        <v>708</v>
      </c>
      <c r="B86">
        <v>0</v>
      </c>
      <c r="C86">
        <f t="shared" si="1"/>
        <v>1</v>
      </c>
      <c r="D86" t="s">
        <v>24</v>
      </c>
      <c r="E86" t="s">
        <v>689</v>
      </c>
      <c r="F86" t="s">
        <v>24</v>
      </c>
      <c r="G86" t="s">
        <v>5</v>
      </c>
      <c r="H86" t="s">
        <v>16</v>
      </c>
    </row>
    <row r="87" spans="1:8" x14ac:dyDescent="0.2">
      <c r="A87" t="s">
        <v>708</v>
      </c>
      <c r="B87">
        <v>0</v>
      </c>
      <c r="C87">
        <f t="shared" si="1"/>
        <v>1</v>
      </c>
      <c r="D87" t="s">
        <v>12</v>
      </c>
      <c r="E87" t="s">
        <v>689</v>
      </c>
      <c r="F87" t="s">
        <v>24</v>
      </c>
      <c r="G87" t="s">
        <v>5</v>
      </c>
      <c r="H87" t="s">
        <v>16</v>
      </c>
    </row>
    <row r="88" spans="1:8" x14ac:dyDescent="0.2">
      <c r="A88" t="s">
        <v>708</v>
      </c>
      <c r="B88">
        <v>0</v>
      </c>
      <c r="C88">
        <f t="shared" si="1"/>
        <v>1</v>
      </c>
      <c r="D88" t="s">
        <v>5</v>
      </c>
      <c r="E88" t="s">
        <v>689</v>
      </c>
      <c r="F88" t="s">
        <v>24</v>
      </c>
      <c r="G88" t="s">
        <v>5</v>
      </c>
      <c r="H88" t="s">
        <v>16</v>
      </c>
    </row>
    <row r="89" spans="1:8" x14ac:dyDescent="0.2">
      <c r="A89" t="s">
        <v>708</v>
      </c>
      <c r="B89">
        <v>0</v>
      </c>
      <c r="C89">
        <f t="shared" si="1"/>
        <v>1</v>
      </c>
      <c r="D89" t="s">
        <v>13</v>
      </c>
      <c r="E89" t="s">
        <v>689</v>
      </c>
      <c r="F89" t="s">
        <v>24</v>
      </c>
      <c r="G89" t="s">
        <v>5</v>
      </c>
      <c r="H89" t="s">
        <v>16</v>
      </c>
    </row>
    <row r="90" spans="1:8" x14ac:dyDescent="0.2">
      <c r="A90" t="s">
        <v>708</v>
      </c>
      <c r="B90">
        <v>0</v>
      </c>
      <c r="C90">
        <f t="shared" si="1"/>
        <v>1</v>
      </c>
      <c r="D90" t="s">
        <v>14</v>
      </c>
      <c r="E90" t="s">
        <v>689</v>
      </c>
      <c r="F90" t="s">
        <v>24</v>
      </c>
      <c r="G90" t="s">
        <v>5</v>
      </c>
      <c r="H90" t="s">
        <v>16</v>
      </c>
    </row>
    <row r="91" spans="1:8" x14ac:dyDescent="0.2">
      <c r="A91" t="s">
        <v>708</v>
      </c>
      <c r="B91">
        <v>0</v>
      </c>
      <c r="C91">
        <f t="shared" si="1"/>
        <v>1</v>
      </c>
      <c r="D91" t="s">
        <v>1</v>
      </c>
      <c r="E91" t="s">
        <v>689</v>
      </c>
      <c r="F91" t="s">
        <v>24</v>
      </c>
      <c r="G91" t="s">
        <v>5</v>
      </c>
      <c r="H91" t="s">
        <v>16</v>
      </c>
    </row>
    <row r="92" spans="1:8" x14ac:dyDescent="0.2">
      <c r="A92" t="s">
        <v>708</v>
      </c>
      <c r="B92">
        <v>0</v>
      </c>
      <c r="C92">
        <f t="shared" si="1"/>
        <v>1</v>
      </c>
      <c r="D92" t="s">
        <v>15</v>
      </c>
      <c r="E92" t="s">
        <v>689</v>
      </c>
      <c r="F92" t="s">
        <v>24</v>
      </c>
      <c r="G92" t="s">
        <v>5</v>
      </c>
      <c r="H92" t="s">
        <v>16</v>
      </c>
    </row>
    <row r="93" spans="1:8" x14ac:dyDescent="0.2">
      <c r="A93" t="s">
        <v>708</v>
      </c>
      <c r="B93">
        <v>0</v>
      </c>
      <c r="C93">
        <f t="shared" si="1"/>
        <v>1</v>
      </c>
      <c r="D93" t="s">
        <v>25</v>
      </c>
      <c r="E93" t="s">
        <v>689</v>
      </c>
      <c r="F93" t="s">
        <v>24</v>
      </c>
      <c r="G93" t="s">
        <v>5</v>
      </c>
      <c r="H93" t="s">
        <v>16</v>
      </c>
    </row>
    <row r="94" spans="1:8" x14ac:dyDescent="0.2">
      <c r="A94" t="s">
        <v>709</v>
      </c>
      <c r="B94">
        <v>0</v>
      </c>
      <c r="C94">
        <f t="shared" si="1"/>
        <v>1</v>
      </c>
      <c r="D94" t="s">
        <v>0</v>
      </c>
      <c r="E94" t="s">
        <v>689</v>
      </c>
      <c r="F94" t="s">
        <v>12</v>
      </c>
      <c r="G94" t="s">
        <v>5</v>
      </c>
      <c r="H94" t="s">
        <v>16</v>
      </c>
    </row>
    <row r="95" spans="1:8" x14ac:dyDescent="0.2">
      <c r="A95" t="s">
        <v>709</v>
      </c>
      <c r="B95">
        <v>0</v>
      </c>
      <c r="C95">
        <f t="shared" si="1"/>
        <v>1</v>
      </c>
      <c r="D95" t="s">
        <v>8</v>
      </c>
      <c r="E95" t="s">
        <v>689</v>
      </c>
      <c r="F95" t="s">
        <v>12</v>
      </c>
      <c r="G95" t="s">
        <v>5</v>
      </c>
      <c r="H95" t="s">
        <v>16</v>
      </c>
    </row>
    <row r="96" spans="1:8" x14ac:dyDescent="0.2">
      <c r="A96" t="s">
        <v>709</v>
      </c>
      <c r="B96">
        <v>0</v>
      </c>
      <c r="C96">
        <f t="shared" si="1"/>
        <v>1</v>
      </c>
      <c r="D96" t="s">
        <v>9</v>
      </c>
      <c r="E96" t="s">
        <v>689</v>
      </c>
      <c r="F96" t="s">
        <v>12</v>
      </c>
      <c r="G96" t="s">
        <v>5</v>
      </c>
      <c r="H96" t="s">
        <v>16</v>
      </c>
    </row>
    <row r="97" spans="1:8" x14ac:dyDescent="0.2">
      <c r="A97" t="s">
        <v>709</v>
      </c>
      <c r="B97">
        <v>0</v>
      </c>
      <c r="C97">
        <f t="shared" si="1"/>
        <v>1</v>
      </c>
      <c r="D97" t="s">
        <v>24</v>
      </c>
      <c r="E97" t="s">
        <v>689</v>
      </c>
      <c r="F97" t="s">
        <v>12</v>
      </c>
      <c r="G97" t="s">
        <v>5</v>
      </c>
      <c r="H97" t="s">
        <v>16</v>
      </c>
    </row>
    <row r="98" spans="1:8" x14ac:dyDescent="0.2">
      <c r="A98" t="s">
        <v>709</v>
      </c>
      <c r="B98">
        <v>0</v>
      </c>
      <c r="C98">
        <f t="shared" si="1"/>
        <v>1</v>
      </c>
      <c r="D98" t="s">
        <v>23</v>
      </c>
      <c r="E98" t="s">
        <v>689</v>
      </c>
      <c r="F98" t="s">
        <v>12</v>
      </c>
      <c r="G98" t="s">
        <v>5</v>
      </c>
      <c r="H98" t="s">
        <v>16</v>
      </c>
    </row>
    <row r="99" spans="1:8" x14ac:dyDescent="0.2">
      <c r="A99" t="s">
        <v>709</v>
      </c>
      <c r="B99">
        <v>0</v>
      </c>
      <c r="C99">
        <f t="shared" si="1"/>
        <v>1</v>
      </c>
      <c r="D99" t="s">
        <v>10</v>
      </c>
      <c r="E99" t="s">
        <v>689</v>
      </c>
      <c r="F99" t="s">
        <v>12</v>
      </c>
      <c r="G99" t="s">
        <v>5</v>
      </c>
      <c r="H99" t="s">
        <v>16</v>
      </c>
    </row>
    <row r="100" spans="1:8" x14ac:dyDescent="0.2">
      <c r="A100" t="s">
        <v>709</v>
      </c>
      <c r="B100">
        <v>0</v>
      </c>
      <c r="C100">
        <f t="shared" si="1"/>
        <v>1</v>
      </c>
      <c r="D100" t="s">
        <v>11</v>
      </c>
      <c r="E100" t="s">
        <v>689</v>
      </c>
      <c r="F100" t="s">
        <v>12</v>
      </c>
      <c r="G100" t="s">
        <v>5</v>
      </c>
      <c r="H100" t="s">
        <v>16</v>
      </c>
    </row>
    <row r="101" spans="1:8" x14ac:dyDescent="0.2">
      <c r="A101" t="s">
        <v>709</v>
      </c>
      <c r="B101">
        <v>0</v>
      </c>
      <c r="C101">
        <f t="shared" si="1"/>
        <v>1</v>
      </c>
      <c r="D101" t="s">
        <v>5</v>
      </c>
      <c r="E101" t="s">
        <v>689</v>
      </c>
      <c r="F101" t="s">
        <v>12</v>
      </c>
      <c r="G101" t="s">
        <v>5</v>
      </c>
      <c r="H101" t="s">
        <v>16</v>
      </c>
    </row>
    <row r="102" spans="1:8" x14ac:dyDescent="0.2">
      <c r="A102" t="s">
        <v>709</v>
      </c>
      <c r="B102">
        <v>0</v>
      </c>
      <c r="C102">
        <f t="shared" si="1"/>
        <v>1</v>
      </c>
      <c r="D102" t="s">
        <v>22</v>
      </c>
      <c r="E102" t="s">
        <v>689</v>
      </c>
      <c r="F102" t="s">
        <v>12</v>
      </c>
      <c r="G102" t="s">
        <v>5</v>
      </c>
      <c r="H102" t="s">
        <v>16</v>
      </c>
    </row>
    <row r="103" spans="1:8" x14ac:dyDescent="0.2">
      <c r="A103" t="s">
        <v>709</v>
      </c>
      <c r="B103">
        <v>0</v>
      </c>
      <c r="C103">
        <f t="shared" si="1"/>
        <v>1</v>
      </c>
      <c r="D103" t="s">
        <v>2</v>
      </c>
      <c r="E103" t="s">
        <v>689</v>
      </c>
      <c r="F103" t="s">
        <v>12</v>
      </c>
      <c r="G103" t="s">
        <v>5</v>
      </c>
      <c r="H103" t="s">
        <v>16</v>
      </c>
    </row>
    <row r="104" spans="1:8" x14ac:dyDescent="0.2">
      <c r="A104" t="s">
        <v>709</v>
      </c>
      <c r="B104">
        <v>0</v>
      </c>
      <c r="C104">
        <f t="shared" si="1"/>
        <v>1</v>
      </c>
      <c r="D104" t="s">
        <v>14</v>
      </c>
      <c r="E104" t="s">
        <v>689</v>
      </c>
      <c r="F104" t="s">
        <v>12</v>
      </c>
      <c r="G104" t="s">
        <v>5</v>
      </c>
      <c r="H104" t="s">
        <v>16</v>
      </c>
    </row>
    <row r="105" spans="1:8" x14ac:dyDescent="0.2">
      <c r="A105" t="s">
        <v>709</v>
      </c>
      <c r="B105">
        <v>0</v>
      </c>
      <c r="C105">
        <f t="shared" si="1"/>
        <v>1</v>
      </c>
      <c r="D105" t="s">
        <v>1</v>
      </c>
      <c r="E105" t="s">
        <v>689</v>
      </c>
      <c r="F105" t="s">
        <v>12</v>
      </c>
      <c r="G105" t="s">
        <v>5</v>
      </c>
      <c r="H105" t="s">
        <v>16</v>
      </c>
    </row>
    <row r="106" spans="1:8" x14ac:dyDescent="0.2">
      <c r="A106" t="s">
        <v>709</v>
      </c>
      <c r="B106">
        <v>0</v>
      </c>
      <c r="C106">
        <f t="shared" si="1"/>
        <v>1</v>
      </c>
      <c r="D106" t="s">
        <v>15</v>
      </c>
      <c r="E106" t="s">
        <v>689</v>
      </c>
      <c r="F106" t="s">
        <v>12</v>
      </c>
      <c r="G106" t="s">
        <v>5</v>
      </c>
      <c r="H106" t="s">
        <v>16</v>
      </c>
    </row>
    <row r="107" spans="1:8" x14ac:dyDescent="0.2">
      <c r="A107" t="s">
        <v>709</v>
      </c>
      <c r="B107">
        <v>0</v>
      </c>
      <c r="C107">
        <f t="shared" si="1"/>
        <v>1</v>
      </c>
      <c r="D107" t="s">
        <v>16</v>
      </c>
      <c r="E107" t="s">
        <v>689</v>
      </c>
      <c r="F107" t="s">
        <v>12</v>
      </c>
      <c r="G107" t="s">
        <v>5</v>
      </c>
      <c r="H107" t="s">
        <v>16</v>
      </c>
    </row>
    <row r="108" spans="1:8" x14ac:dyDescent="0.2">
      <c r="A108" t="s">
        <v>709</v>
      </c>
      <c r="B108">
        <v>0</v>
      </c>
      <c r="C108">
        <f t="shared" si="1"/>
        <v>1</v>
      </c>
      <c r="D108" t="s">
        <v>18</v>
      </c>
      <c r="E108" t="s">
        <v>689</v>
      </c>
      <c r="F108" t="s">
        <v>12</v>
      </c>
      <c r="G108" t="s">
        <v>5</v>
      </c>
      <c r="H108" t="s">
        <v>16</v>
      </c>
    </row>
    <row r="109" spans="1:8" x14ac:dyDescent="0.2">
      <c r="A109" t="s">
        <v>709</v>
      </c>
      <c r="B109">
        <v>0</v>
      </c>
      <c r="C109">
        <f t="shared" si="1"/>
        <v>1</v>
      </c>
      <c r="D109" t="s">
        <v>20</v>
      </c>
      <c r="E109" t="s">
        <v>689</v>
      </c>
      <c r="F109" t="s">
        <v>12</v>
      </c>
      <c r="G109" t="s">
        <v>5</v>
      </c>
      <c r="H109" t="s">
        <v>16</v>
      </c>
    </row>
    <row r="110" spans="1:8" x14ac:dyDescent="0.2">
      <c r="A110" t="s">
        <v>710</v>
      </c>
      <c r="B110">
        <v>0</v>
      </c>
      <c r="C110">
        <f t="shared" si="1"/>
        <v>1</v>
      </c>
      <c r="D110" t="s">
        <v>0</v>
      </c>
      <c r="E110" t="s">
        <v>689</v>
      </c>
      <c r="F110" t="s">
        <v>2</v>
      </c>
      <c r="G110" t="s">
        <v>5</v>
      </c>
      <c r="H110" t="s">
        <v>16</v>
      </c>
    </row>
    <row r="111" spans="1:8" x14ac:dyDescent="0.2">
      <c r="A111" t="s">
        <v>710</v>
      </c>
      <c r="B111">
        <v>0</v>
      </c>
      <c r="C111">
        <f t="shared" si="1"/>
        <v>1</v>
      </c>
      <c r="D111" t="s">
        <v>8</v>
      </c>
      <c r="E111" t="s">
        <v>689</v>
      </c>
      <c r="F111" t="s">
        <v>2</v>
      </c>
      <c r="G111" t="s">
        <v>5</v>
      </c>
      <c r="H111" t="s">
        <v>16</v>
      </c>
    </row>
    <row r="112" spans="1:8" x14ac:dyDescent="0.2">
      <c r="A112" t="s">
        <v>710</v>
      </c>
      <c r="B112">
        <v>0</v>
      </c>
      <c r="C112">
        <f t="shared" si="1"/>
        <v>1</v>
      </c>
      <c r="D112" t="s">
        <v>9</v>
      </c>
      <c r="E112" t="s">
        <v>689</v>
      </c>
      <c r="F112" t="s">
        <v>2</v>
      </c>
      <c r="G112" t="s">
        <v>5</v>
      </c>
      <c r="H112" t="s">
        <v>16</v>
      </c>
    </row>
    <row r="113" spans="1:8" x14ac:dyDescent="0.2">
      <c r="A113" t="s">
        <v>710</v>
      </c>
      <c r="B113">
        <v>0</v>
      </c>
      <c r="C113">
        <f t="shared" si="1"/>
        <v>1</v>
      </c>
      <c r="D113" t="s">
        <v>10</v>
      </c>
      <c r="E113" t="s">
        <v>689</v>
      </c>
      <c r="F113" t="s">
        <v>2</v>
      </c>
      <c r="G113" t="s">
        <v>5</v>
      </c>
      <c r="H113" t="s">
        <v>16</v>
      </c>
    </row>
    <row r="114" spans="1:8" x14ac:dyDescent="0.2">
      <c r="A114" t="s">
        <v>710</v>
      </c>
      <c r="B114">
        <v>0</v>
      </c>
      <c r="C114">
        <f t="shared" si="1"/>
        <v>1</v>
      </c>
      <c r="D114" t="s">
        <v>11</v>
      </c>
      <c r="E114" t="s">
        <v>689</v>
      </c>
      <c r="F114" t="s">
        <v>2</v>
      </c>
      <c r="G114" t="s">
        <v>5</v>
      </c>
      <c r="H114" t="s">
        <v>16</v>
      </c>
    </row>
    <row r="115" spans="1:8" x14ac:dyDescent="0.2">
      <c r="A115" t="s">
        <v>710</v>
      </c>
      <c r="B115">
        <v>0</v>
      </c>
      <c r="C115">
        <f t="shared" si="1"/>
        <v>1</v>
      </c>
      <c r="D115" t="s">
        <v>12</v>
      </c>
      <c r="E115" t="s">
        <v>689</v>
      </c>
      <c r="F115" t="s">
        <v>2</v>
      </c>
      <c r="G115" t="s">
        <v>5</v>
      </c>
      <c r="H115" t="s">
        <v>16</v>
      </c>
    </row>
    <row r="116" spans="1:8" x14ac:dyDescent="0.2">
      <c r="A116" t="s">
        <v>710</v>
      </c>
      <c r="B116">
        <v>0</v>
      </c>
      <c r="C116">
        <f t="shared" si="1"/>
        <v>1</v>
      </c>
      <c r="D116" t="s">
        <v>5</v>
      </c>
      <c r="E116" t="s">
        <v>689</v>
      </c>
      <c r="F116" t="s">
        <v>2</v>
      </c>
      <c r="G116" t="s">
        <v>5</v>
      </c>
      <c r="H116" t="s">
        <v>16</v>
      </c>
    </row>
    <row r="117" spans="1:8" x14ac:dyDescent="0.2">
      <c r="A117" t="s">
        <v>710</v>
      </c>
      <c r="B117">
        <v>0</v>
      </c>
      <c r="C117">
        <f t="shared" si="1"/>
        <v>1</v>
      </c>
      <c r="D117" t="s">
        <v>13</v>
      </c>
      <c r="E117" t="s">
        <v>689</v>
      </c>
      <c r="F117" t="s">
        <v>2</v>
      </c>
      <c r="G117" t="s">
        <v>5</v>
      </c>
      <c r="H117" t="s">
        <v>16</v>
      </c>
    </row>
    <row r="118" spans="1:8" x14ac:dyDescent="0.2">
      <c r="A118" t="s">
        <v>710</v>
      </c>
      <c r="B118">
        <v>0</v>
      </c>
      <c r="C118">
        <f t="shared" si="1"/>
        <v>1</v>
      </c>
      <c r="D118" t="s">
        <v>2</v>
      </c>
      <c r="E118" t="s">
        <v>689</v>
      </c>
      <c r="F118" t="s">
        <v>2</v>
      </c>
      <c r="G118" t="s">
        <v>5</v>
      </c>
      <c r="H118" t="s">
        <v>16</v>
      </c>
    </row>
    <row r="119" spans="1:8" x14ac:dyDescent="0.2">
      <c r="A119" t="s">
        <v>710</v>
      </c>
      <c r="B119">
        <v>0</v>
      </c>
      <c r="C119">
        <f t="shared" si="1"/>
        <v>1</v>
      </c>
      <c r="D119" t="s">
        <v>14</v>
      </c>
      <c r="E119" t="s">
        <v>689</v>
      </c>
      <c r="F119" t="s">
        <v>2</v>
      </c>
      <c r="G119" t="s">
        <v>5</v>
      </c>
      <c r="H119" t="s">
        <v>16</v>
      </c>
    </row>
    <row r="120" spans="1:8" x14ac:dyDescent="0.2">
      <c r="A120" t="s">
        <v>710</v>
      </c>
      <c r="B120">
        <v>0</v>
      </c>
      <c r="C120">
        <f t="shared" si="1"/>
        <v>1</v>
      </c>
      <c r="D120" t="s">
        <v>1</v>
      </c>
      <c r="E120" t="s">
        <v>689</v>
      </c>
      <c r="F120" t="s">
        <v>2</v>
      </c>
      <c r="G120" t="s">
        <v>5</v>
      </c>
      <c r="H120" t="s">
        <v>16</v>
      </c>
    </row>
    <row r="121" spans="1:8" x14ac:dyDescent="0.2">
      <c r="A121" t="s">
        <v>710</v>
      </c>
      <c r="B121">
        <v>0</v>
      </c>
      <c r="C121">
        <f t="shared" si="1"/>
        <v>1</v>
      </c>
      <c r="D121" t="s">
        <v>15</v>
      </c>
      <c r="E121" t="s">
        <v>689</v>
      </c>
      <c r="F121" t="s">
        <v>2</v>
      </c>
      <c r="G121" t="s">
        <v>5</v>
      </c>
      <c r="H121" t="s">
        <v>16</v>
      </c>
    </row>
    <row r="122" spans="1:8" x14ac:dyDescent="0.2">
      <c r="A122" t="s">
        <v>710</v>
      </c>
      <c r="B122">
        <v>0</v>
      </c>
      <c r="C122">
        <f t="shared" si="1"/>
        <v>1</v>
      </c>
      <c r="D122" t="s">
        <v>16</v>
      </c>
      <c r="E122" t="s">
        <v>689</v>
      </c>
      <c r="F122" t="s">
        <v>2</v>
      </c>
      <c r="G122" t="s">
        <v>5</v>
      </c>
      <c r="H122" t="s">
        <v>16</v>
      </c>
    </row>
    <row r="123" spans="1:8" x14ac:dyDescent="0.2">
      <c r="A123" t="s">
        <v>710</v>
      </c>
      <c r="B123">
        <v>0</v>
      </c>
      <c r="C123">
        <f t="shared" si="1"/>
        <v>1</v>
      </c>
      <c r="D123" t="s">
        <v>17</v>
      </c>
      <c r="E123" t="s">
        <v>689</v>
      </c>
      <c r="F123" t="s">
        <v>2</v>
      </c>
      <c r="G123" t="s">
        <v>5</v>
      </c>
      <c r="H123" t="s">
        <v>16</v>
      </c>
    </row>
    <row r="124" spans="1:8" x14ac:dyDescent="0.2">
      <c r="A124" t="s">
        <v>710</v>
      </c>
      <c r="B124">
        <v>0</v>
      </c>
      <c r="C124">
        <f t="shared" si="1"/>
        <v>1</v>
      </c>
      <c r="D124" t="s">
        <v>18</v>
      </c>
      <c r="E124" t="s">
        <v>689</v>
      </c>
      <c r="F124" t="s">
        <v>2</v>
      </c>
      <c r="G124" t="s">
        <v>5</v>
      </c>
      <c r="H124" t="s">
        <v>16</v>
      </c>
    </row>
    <row r="125" spans="1:8" x14ac:dyDescent="0.2">
      <c r="A125" t="s">
        <v>717</v>
      </c>
      <c r="B125">
        <v>0</v>
      </c>
      <c r="C125">
        <f t="shared" si="1"/>
        <v>1</v>
      </c>
      <c r="D125" t="s">
        <v>9</v>
      </c>
      <c r="E125" t="s">
        <v>689</v>
      </c>
      <c r="F125" t="s">
        <v>1</v>
      </c>
      <c r="G125" t="s">
        <v>5</v>
      </c>
      <c r="H125" t="s">
        <v>16</v>
      </c>
    </row>
    <row r="126" spans="1:8" x14ac:dyDescent="0.2">
      <c r="A126" t="s">
        <v>717</v>
      </c>
      <c r="B126">
        <v>0</v>
      </c>
      <c r="C126">
        <f t="shared" si="1"/>
        <v>1</v>
      </c>
      <c r="D126" t="s">
        <v>23</v>
      </c>
      <c r="E126" t="s">
        <v>689</v>
      </c>
      <c r="F126" t="s">
        <v>1</v>
      </c>
      <c r="G126" t="s">
        <v>5</v>
      </c>
      <c r="H126" t="s">
        <v>16</v>
      </c>
    </row>
    <row r="127" spans="1:8" x14ac:dyDescent="0.2">
      <c r="A127" t="s">
        <v>717</v>
      </c>
      <c r="B127">
        <v>0</v>
      </c>
      <c r="C127">
        <f t="shared" si="1"/>
        <v>1</v>
      </c>
      <c r="D127" t="s">
        <v>10</v>
      </c>
      <c r="E127" t="s">
        <v>689</v>
      </c>
      <c r="F127" t="s">
        <v>1</v>
      </c>
      <c r="G127" t="s">
        <v>5</v>
      </c>
      <c r="H127" t="s">
        <v>16</v>
      </c>
    </row>
    <row r="128" spans="1:8" x14ac:dyDescent="0.2">
      <c r="A128" t="s">
        <v>717</v>
      </c>
      <c r="B128">
        <v>0</v>
      </c>
      <c r="C128">
        <f t="shared" si="1"/>
        <v>1</v>
      </c>
      <c r="D128" t="s">
        <v>11</v>
      </c>
      <c r="E128" t="s">
        <v>689</v>
      </c>
      <c r="F128" t="s">
        <v>1</v>
      </c>
      <c r="G128" t="s">
        <v>5</v>
      </c>
      <c r="H128" t="s">
        <v>16</v>
      </c>
    </row>
    <row r="129" spans="1:8" x14ac:dyDescent="0.2">
      <c r="A129" t="s">
        <v>717</v>
      </c>
      <c r="B129">
        <v>0</v>
      </c>
      <c r="C129">
        <f t="shared" si="1"/>
        <v>1</v>
      </c>
      <c r="D129" t="s">
        <v>12</v>
      </c>
      <c r="E129" t="s">
        <v>689</v>
      </c>
      <c r="F129" t="s">
        <v>1</v>
      </c>
      <c r="G129" t="s">
        <v>5</v>
      </c>
      <c r="H129" t="s">
        <v>16</v>
      </c>
    </row>
    <row r="130" spans="1:8" x14ac:dyDescent="0.2">
      <c r="A130" t="s">
        <v>717</v>
      </c>
      <c r="B130">
        <v>0</v>
      </c>
      <c r="C130">
        <f t="shared" ref="C130:C193" si="2">EXP(-B130)</f>
        <v>1</v>
      </c>
      <c r="D130" t="s">
        <v>5</v>
      </c>
      <c r="E130" t="s">
        <v>689</v>
      </c>
      <c r="F130" t="s">
        <v>1</v>
      </c>
      <c r="G130" t="s">
        <v>5</v>
      </c>
      <c r="H130" t="s">
        <v>16</v>
      </c>
    </row>
    <row r="131" spans="1:8" x14ac:dyDescent="0.2">
      <c r="A131" t="s">
        <v>717</v>
      </c>
      <c r="B131">
        <v>0</v>
      </c>
      <c r="C131">
        <f t="shared" si="2"/>
        <v>1</v>
      </c>
      <c r="D131" t="s">
        <v>22</v>
      </c>
      <c r="E131" t="s">
        <v>689</v>
      </c>
      <c r="F131" t="s">
        <v>1</v>
      </c>
      <c r="G131" t="s">
        <v>5</v>
      </c>
      <c r="H131" t="s">
        <v>16</v>
      </c>
    </row>
    <row r="132" spans="1:8" x14ac:dyDescent="0.2">
      <c r="A132" t="s">
        <v>717</v>
      </c>
      <c r="B132">
        <v>0</v>
      </c>
      <c r="C132">
        <f t="shared" si="2"/>
        <v>1</v>
      </c>
      <c r="D132" t="s">
        <v>13</v>
      </c>
      <c r="E132" t="s">
        <v>689</v>
      </c>
      <c r="F132" t="s">
        <v>1</v>
      </c>
      <c r="G132" t="s">
        <v>5</v>
      </c>
      <c r="H132" t="s">
        <v>16</v>
      </c>
    </row>
    <row r="133" spans="1:8" x14ac:dyDescent="0.2">
      <c r="A133" t="s">
        <v>717</v>
      </c>
      <c r="B133">
        <v>0</v>
      </c>
      <c r="C133">
        <f t="shared" si="2"/>
        <v>1</v>
      </c>
      <c r="D133" t="s">
        <v>2</v>
      </c>
      <c r="E133" t="s">
        <v>689</v>
      </c>
      <c r="F133" t="s">
        <v>1</v>
      </c>
      <c r="G133" t="s">
        <v>5</v>
      </c>
      <c r="H133" t="s">
        <v>16</v>
      </c>
    </row>
    <row r="134" spans="1:8" x14ac:dyDescent="0.2">
      <c r="A134" t="s">
        <v>717</v>
      </c>
      <c r="B134">
        <v>0</v>
      </c>
      <c r="C134">
        <f t="shared" si="2"/>
        <v>1</v>
      </c>
      <c r="D134" t="s">
        <v>14</v>
      </c>
      <c r="E134" t="s">
        <v>689</v>
      </c>
      <c r="F134" t="s">
        <v>1</v>
      </c>
      <c r="G134" t="s">
        <v>5</v>
      </c>
      <c r="H134" t="s">
        <v>16</v>
      </c>
    </row>
    <row r="135" spans="1:8" x14ac:dyDescent="0.2">
      <c r="A135" t="s">
        <v>717</v>
      </c>
      <c r="B135">
        <v>0</v>
      </c>
      <c r="C135">
        <f t="shared" si="2"/>
        <v>1</v>
      </c>
      <c r="D135" t="s">
        <v>1</v>
      </c>
      <c r="E135" t="s">
        <v>689</v>
      </c>
      <c r="F135" t="s">
        <v>1</v>
      </c>
      <c r="G135" t="s">
        <v>5</v>
      </c>
      <c r="H135" t="s">
        <v>16</v>
      </c>
    </row>
    <row r="136" spans="1:8" x14ac:dyDescent="0.2">
      <c r="A136" t="s">
        <v>717</v>
      </c>
      <c r="B136">
        <v>0</v>
      </c>
      <c r="C136">
        <f t="shared" si="2"/>
        <v>1</v>
      </c>
      <c r="D136" t="s">
        <v>15</v>
      </c>
      <c r="E136" t="s">
        <v>689</v>
      </c>
      <c r="F136" t="s">
        <v>1</v>
      </c>
      <c r="G136" t="s">
        <v>5</v>
      </c>
      <c r="H136" t="s">
        <v>16</v>
      </c>
    </row>
    <row r="137" spans="1:8" x14ac:dyDescent="0.2">
      <c r="A137" t="s">
        <v>717</v>
      </c>
      <c r="B137">
        <v>0</v>
      </c>
      <c r="C137">
        <f t="shared" si="2"/>
        <v>1</v>
      </c>
      <c r="D137" t="s">
        <v>16</v>
      </c>
      <c r="E137" t="s">
        <v>689</v>
      </c>
      <c r="F137" t="s">
        <v>1</v>
      </c>
      <c r="G137" t="s">
        <v>5</v>
      </c>
      <c r="H137" t="s">
        <v>16</v>
      </c>
    </row>
    <row r="138" spans="1:8" x14ac:dyDescent="0.2">
      <c r="A138" t="s">
        <v>717</v>
      </c>
      <c r="B138">
        <v>0</v>
      </c>
      <c r="C138">
        <f t="shared" si="2"/>
        <v>1</v>
      </c>
      <c r="D138" t="s">
        <v>18</v>
      </c>
      <c r="E138" t="s">
        <v>689</v>
      </c>
      <c r="F138" t="s">
        <v>1</v>
      </c>
      <c r="G138" t="s">
        <v>5</v>
      </c>
      <c r="H138" t="s">
        <v>16</v>
      </c>
    </row>
    <row r="139" spans="1:8" x14ac:dyDescent="0.2">
      <c r="A139" t="s">
        <v>721</v>
      </c>
      <c r="B139">
        <v>1.016</v>
      </c>
      <c r="C139">
        <f t="shared" si="2"/>
        <v>0.36204020854348745</v>
      </c>
      <c r="D139" t="s">
        <v>10</v>
      </c>
      <c r="E139" t="s">
        <v>689</v>
      </c>
      <c r="F139" t="s">
        <v>15</v>
      </c>
      <c r="G139" t="s">
        <v>5</v>
      </c>
      <c r="H139" t="s">
        <v>16</v>
      </c>
    </row>
    <row r="140" spans="1:8" x14ac:dyDescent="0.2">
      <c r="A140" t="s">
        <v>721</v>
      </c>
      <c r="B140">
        <v>1.016</v>
      </c>
      <c r="C140">
        <f t="shared" si="2"/>
        <v>0.36204020854348745</v>
      </c>
      <c r="D140" t="s">
        <v>12</v>
      </c>
      <c r="E140" t="s">
        <v>689</v>
      </c>
      <c r="F140" t="s">
        <v>15</v>
      </c>
      <c r="G140" t="s">
        <v>5</v>
      </c>
      <c r="H140" t="s">
        <v>16</v>
      </c>
    </row>
    <row r="141" spans="1:8" x14ac:dyDescent="0.2">
      <c r="A141" t="s">
        <v>721</v>
      </c>
      <c r="B141">
        <v>1.016</v>
      </c>
      <c r="C141">
        <f t="shared" si="2"/>
        <v>0.36204020854348745</v>
      </c>
      <c r="D141" t="s">
        <v>5</v>
      </c>
      <c r="E141" t="s">
        <v>689</v>
      </c>
      <c r="F141" t="s">
        <v>15</v>
      </c>
      <c r="G141" t="s">
        <v>5</v>
      </c>
      <c r="H141" t="s">
        <v>16</v>
      </c>
    </row>
    <row r="142" spans="1:8" x14ac:dyDescent="0.2">
      <c r="A142" t="s">
        <v>721</v>
      </c>
      <c r="B142">
        <v>1.016</v>
      </c>
      <c r="C142">
        <f t="shared" si="2"/>
        <v>0.36204020854348745</v>
      </c>
      <c r="D142" t="s">
        <v>15</v>
      </c>
      <c r="E142" t="s">
        <v>689</v>
      </c>
      <c r="F142" t="s">
        <v>15</v>
      </c>
      <c r="G142" t="s">
        <v>5</v>
      </c>
      <c r="H142" t="s">
        <v>16</v>
      </c>
    </row>
    <row r="143" spans="1:8" x14ac:dyDescent="0.2">
      <c r="A143" t="s">
        <v>711</v>
      </c>
      <c r="B143">
        <v>0</v>
      </c>
      <c r="C143">
        <f t="shared" si="2"/>
        <v>1</v>
      </c>
      <c r="D143" t="s">
        <v>0</v>
      </c>
      <c r="E143" t="s">
        <v>689</v>
      </c>
      <c r="F143" t="s">
        <v>16</v>
      </c>
      <c r="G143" t="s">
        <v>5</v>
      </c>
      <c r="H143" t="s">
        <v>16</v>
      </c>
    </row>
    <row r="144" spans="1:8" x14ac:dyDescent="0.2">
      <c r="A144" t="s">
        <v>711</v>
      </c>
      <c r="B144">
        <v>0</v>
      </c>
      <c r="C144">
        <f t="shared" si="2"/>
        <v>1</v>
      </c>
      <c r="D144" t="s">
        <v>8</v>
      </c>
      <c r="E144" t="s">
        <v>689</v>
      </c>
      <c r="F144" t="s">
        <v>16</v>
      </c>
      <c r="G144" t="s">
        <v>5</v>
      </c>
      <c r="H144" t="s">
        <v>16</v>
      </c>
    </row>
    <row r="145" spans="1:8" x14ac:dyDescent="0.2">
      <c r="A145" t="s">
        <v>711</v>
      </c>
      <c r="B145">
        <v>0</v>
      </c>
      <c r="C145">
        <f t="shared" si="2"/>
        <v>1</v>
      </c>
      <c r="D145" t="s">
        <v>9</v>
      </c>
      <c r="E145" t="s">
        <v>689</v>
      </c>
      <c r="F145" t="s">
        <v>16</v>
      </c>
      <c r="G145" t="s">
        <v>5</v>
      </c>
      <c r="H145" t="s">
        <v>16</v>
      </c>
    </row>
    <row r="146" spans="1:8" x14ac:dyDescent="0.2">
      <c r="A146" t="s">
        <v>711</v>
      </c>
      <c r="B146">
        <v>0</v>
      </c>
      <c r="C146">
        <f t="shared" si="2"/>
        <v>1</v>
      </c>
      <c r="D146" t="s">
        <v>24</v>
      </c>
      <c r="E146" t="s">
        <v>689</v>
      </c>
      <c r="F146" t="s">
        <v>16</v>
      </c>
      <c r="G146" t="s">
        <v>5</v>
      </c>
      <c r="H146" t="s">
        <v>16</v>
      </c>
    </row>
    <row r="147" spans="1:8" x14ac:dyDescent="0.2">
      <c r="A147" t="s">
        <v>711</v>
      </c>
      <c r="B147">
        <v>0</v>
      </c>
      <c r="C147">
        <f t="shared" si="2"/>
        <v>1</v>
      </c>
      <c r="D147" t="s">
        <v>10</v>
      </c>
      <c r="E147" t="s">
        <v>689</v>
      </c>
      <c r="F147" t="s">
        <v>16</v>
      </c>
      <c r="G147" t="s">
        <v>5</v>
      </c>
      <c r="H147" t="s">
        <v>16</v>
      </c>
    </row>
    <row r="148" spans="1:8" x14ac:dyDescent="0.2">
      <c r="A148" t="s">
        <v>711</v>
      </c>
      <c r="B148">
        <v>0</v>
      </c>
      <c r="C148">
        <f t="shared" si="2"/>
        <v>1</v>
      </c>
      <c r="D148" t="s">
        <v>12</v>
      </c>
      <c r="E148" t="s">
        <v>689</v>
      </c>
      <c r="F148" t="s">
        <v>16</v>
      </c>
      <c r="G148" t="s">
        <v>5</v>
      </c>
      <c r="H148" t="s">
        <v>16</v>
      </c>
    </row>
    <row r="149" spans="1:8" x14ac:dyDescent="0.2">
      <c r="A149" t="s">
        <v>711</v>
      </c>
      <c r="B149">
        <v>0</v>
      </c>
      <c r="C149">
        <f t="shared" si="2"/>
        <v>1</v>
      </c>
      <c r="D149" t="s">
        <v>5</v>
      </c>
      <c r="E149" t="s">
        <v>689</v>
      </c>
      <c r="F149" t="s">
        <v>16</v>
      </c>
      <c r="G149" t="s">
        <v>5</v>
      </c>
      <c r="H149" t="s">
        <v>16</v>
      </c>
    </row>
    <row r="150" spans="1:8" x14ac:dyDescent="0.2">
      <c r="A150" t="s">
        <v>711</v>
      </c>
      <c r="B150">
        <v>0</v>
      </c>
      <c r="C150">
        <f t="shared" si="2"/>
        <v>1</v>
      </c>
      <c r="D150" t="s">
        <v>22</v>
      </c>
      <c r="E150" t="s">
        <v>689</v>
      </c>
      <c r="F150" t="s">
        <v>16</v>
      </c>
      <c r="G150" t="s">
        <v>5</v>
      </c>
      <c r="H150" t="s">
        <v>16</v>
      </c>
    </row>
    <row r="151" spans="1:8" x14ac:dyDescent="0.2">
      <c r="A151" t="s">
        <v>711</v>
      </c>
      <c r="B151">
        <v>0</v>
      </c>
      <c r="C151">
        <f t="shared" si="2"/>
        <v>1</v>
      </c>
      <c r="D151" t="s">
        <v>13</v>
      </c>
      <c r="E151" t="s">
        <v>689</v>
      </c>
      <c r="F151" t="s">
        <v>16</v>
      </c>
      <c r="G151" t="s">
        <v>5</v>
      </c>
      <c r="H151" t="s">
        <v>16</v>
      </c>
    </row>
    <row r="152" spans="1:8" x14ac:dyDescent="0.2">
      <c r="A152" t="s">
        <v>711</v>
      </c>
      <c r="B152">
        <v>0</v>
      </c>
      <c r="C152">
        <f t="shared" si="2"/>
        <v>1</v>
      </c>
      <c r="D152" t="s">
        <v>2</v>
      </c>
      <c r="E152" t="s">
        <v>689</v>
      </c>
      <c r="F152" t="s">
        <v>16</v>
      </c>
      <c r="G152" t="s">
        <v>5</v>
      </c>
      <c r="H152" t="s">
        <v>16</v>
      </c>
    </row>
    <row r="153" spans="1:8" x14ac:dyDescent="0.2">
      <c r="A153" t="s">
        <v>711</v>
      </c>
      <c r="B153">
        <v>0</v>
      </c>
      <c r="C153">
        <f t="shared" si="2"/>
        <v>1</v>
      </c>
      <c r="D153" t="s">
        <v>1</v>
      </c>
      <c r="E153" t="s">
        <v>689</v>
      </c>
      <c r="F153" t="s">
        <v>16</v>
      </c>
      <c r="G153" t="s">
        <v>5</v>
      </c>
      <c r="H153" t="s">
        <v>16</v>
      </c>
    </row>
    <row r="154" spans="1:8" x14ac:dyDescent="0.2">
      <c r="A154" t="s">
        <v>711</v>
      </c>
      <c r="B154">
        <v>0</v>
      </c>
      <c r="C154">
        <f t="shared" si="2"/>
        <v>1</v>
      </c>
      <c r="D154" t="s">
        <v>15</v>
      </c>
      <c r="E154" t="s">
        <v>689</v>
      </c>
      <c r="F154" t="s">
        <v>16</v>
      </c>
      <c r="G154" t="s">
        <v>5</v>
      </c>
      <c r="H154" t="s">
        <v>16</v>
      </c>
    </row>
    <row r="155" spans="1:8" x14ac:dyDescent="0.2">
      <c r="A155" t="s">
        <v>711</v>
      </c>
      <c r="B155">
        <v>0</v>
      </c>
      <c r="C155">
        <f t="shared" si="2"/>
        <v>1</v>
      </c>
      <c r="D155" t="s">
        <v>16</v>
      </c>
      <c r="E155" t="s">
        <v>689</v>
      </c>
      <c r="F155" t="s">
        <v>16</v>
      </c>
      <c r="G155" t="s">
        <v>5</v>
      </c>
      <c r="H155" t="s">
        <v>16</v>
      </c>
    </row>
    <row r="156" spans="1:8" x14ac:dyDescent="0.2">
      <c r="A156" t="s">
        <v>711</v>
      </c>
      <c r="B156">
        <v>0</v>
      </c>
      <c r="C156">
        <f t="shared" si="2"/>
        <v>1</v>
      </c>
      <c r="D156" t="s">
        <v>17</v>
      </c>
      <c r="E156" t="s">
        <v>689</v>
      </c>
      <c r="F156" t="s">
        <v>16</v>
      </c>
      <c r="G156" t="s">
        <v>5</v>
      </c>
      <c r="H156" t="s">
        <v>16</v>
      </c>
    </row>
    <row r="157" spans="1:8" x14ac:dyDescent="0.2">
      <c r="A157" t="s">
        <v>711</v>
      </c>
      <c r="B157">
        <v>0</v>
      </c>
      <c r="C157">
        <f t="shared" si="2"/>
        <v>1</v>
      </c>
      <c r="D157" t="s">
        <v>18</v>
      </c>
      <c r="E157" t="s">
        <v>689</v>
      </c>
      <c r="F157" t="s">
        <v>16</v>
      </c>
      <c r="G157" t="s">
        <v>5</v>
      </c>
      <c r="H157" t="s">
        <v>16</v>
      </c>
    </row>
    <row r="158" spans="1:8" x14ac:dyDescent="0.2">
      <c r="A158" t="s">
        <v>719</v>
      </c>
      <c r="B158">
        <v>0</v>
      </c>
      <c r="C158">
        <f t="shared" si="2"/>
        <v>1</v>
      </c>
      <c r="D158" t="s">
        <v>24</v>
      </c>
      <c r="E158" t="s">
        <v>689</v>
      </c>
      <c r="F158" t="s">
        <v>25</v>
      </c>
      <c r="G158" t="s">
        <v>5</v>
      </c>
      <c r="H158" t="s">
        <v>16</v>
      </c>
    </row>
    <row r="159" spans="1:8" x14ac:dyDescent="0.2">
      <c r="A159" t="s">
        <v>719</v>
      </c>
      <c r="B159">
        <v>0</v>
      </c>
      <c r="C159">
        <f t="shared" si="2"/>
        <v>1</v>
      </c>
      <c r="D159" t="s">
        <v>23</v>
      </c>
      <c r="E159" t="s">
        <v>689</v>
      </c>
      <c r="F159" t="s">
        <v>25</v>
      </c>
      <c r="G159" t="s">
        <v>5</v>
      </c>
      <c r="H159" t="s">
        <v>16</v>
      </c>
    </row>
    <row r="160" spans="1:8" x14ac:dyDescent="0.2">
      <c r="A160" t="s">
        <v>719</v>
      </c>
      <c r="B160">
        <v>0</v>
      </c>
      <c r="C160">
        <f t="shared" si="2"/>
        <v>1</v>
      </c>
      <c r="D160" t="s">
        <v>10</v>
      </c>
      <c r="E160" t="s">
        <v>689</v>
      </c>
      <c r="F160" t="s">
        <v>25</v>
      </c>
      <c r="G160" t="s">
        <v>5</v>
      </c>
      <c r="H160" t="s">
        <v>16</v>
      </c>
    </row>
    <row r="161" spans="1:9" x14ac:dyDescent="0.2">
      <c r="A161" t="s">
        <v>719</v>
      </c>
      <c r="B161">
        <v>0</v>
      </c>
      <c r="C161">
        <f t="shared" si="2"/>
        <v>1</v>
      </c>
      <c r="D161" t="s">
        <v>12</v>
      </c>
      <c r="E161" t="s">
        <v>689</v>
      </c>
      <c r="F161" t="s">
        <v>25</v>
      </c>
      <c r="G161" t="s">
        <v>5</v>
      </c>
      <c r="H161" t="s">
        <v>16</v>
      </c>
    </row>
    <row r="162" spans="1:9" x14ac:dyDescent="0.2">
      <c r="A162" t="s">
        <v>719</v>
      </c>
      <c r="B162">
        <v>0</v>
      </c>
      <c r="C162">
        <f t="shared" si="2"/>
        <v>1</v>
      </c>
      <c r="D162" t="s">
        <v>5</v>
      </c>
      <c r="E162" t="s">
        <v>689</v>
      </c>
      <c r="F162" t="s">
        <v>25</v>
      </c>
      <c r="G162" t="s">
        <v>5</v>
      </c>
      <c r="H162" t="s">
        <v>16</v>
      </c>
    </row>
    <row r="163" spans="1:9" x14ac:dyDescent="0.2">
      <c r="A163" t="s">
        <v>719</v>
      </c>
      <c r="B163">
        <v>0</v>
      </c>
      <c r="C163">
        <f t="shared" si="2"/>
        <v>1</v>
      </c>
      <c r="D163" t="s">
        <v>22</v>
      </c>
      <c r="E163" t="s">
        <v>689</v>
      </c>
      <c r="F163" t="s">
        <v>25</v>
      </c>
      <c r="G163" t="s">
        <v>5</v>
      </c>
      <c r="H163" t="s">
        <v>16</v>
      </c>
    </row>
    <row r="164" spans="1:9" x14ac:dyDescent="0.2">
      <c r="A164" t="s">
        <v>719</v>
      </c>
      <c r="B164">
        <v>0</v>
      </c>
      <c r="C164">
        <f t="shared" si="2"/>
        <v>1</v>
      </c>
      <c r="D164" t="s">
        <v>2</v>
      </c>
      <c r="E164" t="s">
        <v>689</v>
      </c>
      <c r="F164" t="s">
        <v>25</v>
      </c>
      <c r="G164" t="s">
        <v>5</v>
      </c>
      <c r="H164" t="s">
        <v>16</v>
      </c>
    </row>
    <row r="165" spans="1:9" x14ac:dyDescent="0.2">
      <c r="A165" t="s">
        <v>719</v>
      </c>
      <c r="B165">
        <v>0</v>
      </c>
      <c r="C165">
        <f t="shared" si="2"/>
        <v>1</v>
      </c>
      <c r="D165" t="s">
        <v>14</v>
      </c>
      <c r="E165" t="s">
        <v>689</v>
      </c>
      <c r="F165" t="s">
        <v>25</v>
      </c>
      <c r="G165" t="s">
        <v>5</v>
      </c>
      <c r="H165" t="s">
        <v>16</v>
      </c>
    </row>
    <row r="166" spans="1:9" x14ac:dyDescent="0.2">
      <c r="A166" t="s">
        <v>719</v>
      </c>
      <c r="B166">
        <v>0</v>
      </c>
      <c r="C166">
        <f t="shared" si="2"/>
        <v>1</v>
      </c>
      <c r="D166" t="s">
        <v>1</v>
      </c>
      <c r="E166" t="s">
        <v>689</v>
      </c>
      <c r="F166" t="s">
        <v>25</v>
      </c>
      <c r="G166" t="s">
        <v>5</v>
      </c>
      <c r="H166" t="s">
        <v>16</v>
      </c>
    </row>
    <row r="167" spans="1:9" x14ac:dyDescent="0.2">
      <c r="A167" t="s">
        <v>719</v>
      </c>
      <c r="B167">
        <v>0</v>
      </c>
      <c r="C167">
        <f t="shared" si="2"/>
        <v>1</v>
      </c>
      <c r="D167" t="s">
        <v>15</v>
      </c>
      <c r="E167" t="s">
        <v>689</v>
      </c>
      <c r="F167" t="s">
        <v>25</v>
      </c>
      <c r="G167" t="s">
        <v>5</v>
      </c>
      <c r="H167" t="s">
        <v>16</v>
      </c>
    </row>
    <row r="168" spans="1:9" x14ac:dyDescent="0.2">
      <c r="A168" t="s">
        <v>719</v>
      </c>
      <c r="B168">
        <v>0</v>
      </c>
      <c r="C168">
        <f t="shared" si="2"/>
        <v>1</v>
      </c>
      <c r="D168" t="s">
        <v>16</v>
      </c>
      <c r="E168" t="s">
        <v>689</v>
      </c>
      <c r="F168" t="s">
        <v>25</v>
      </c>
      <c r="G168" t="s">
        <v>5</v>
      </c>
      <c r="H168" t="s">
        <v>16</v>
      </c>
    </row>
    <row r="169" spans="1:9" x14ac:dyDescent="0.2">
      <c r="A169" t="s">
        <v>719</v>
      </c>
      <c r="B169">
        <v>0</v>
      </c>
      <c r="C169">
        <f t="shared" si="2"/>
        <v>1</v>
      </c>
      <c r="D169" t="s">
        <v>17</v>
      </c>
      <c r="E169" t="s">
        <v>689</v>
      </c>
      <c r="F169" t="s">
        <v>25</v>
      </c>
      <c r="G169" t="s">
        <v>5</v>
      </c>
      <c r="H169" t="s">
        <v>16</v>
      </c>
    </row>
    <row r="170" spans="1:9" x14ac:dyDescent="0.2">
      <c r="A170" t="s">
        <v>719</v>
      </c>
      <c r="B170">
        <v>0</v>
      </c>
      <c r="C170">
        <f t="shared" si="2"/>
        <v>1</v>
      </c>
      <c r="D170" t="s">
        <v>18</v>
      </c>
      <c r="E170" t="s">
        <v>689</v>
      </c>
      <c r="F170" t="s">
        <v>25</v>
      </c>
      <c r="G170" t="s">
        <v>5</v>
      </c>
      <c r="H170" t="s">
        <v>16</v>
      </c>
      <c r="I170">
        <f>AVERAGE(C73:C170)</f>
        <v>0.97396082483850976</v>
      </c>
    </row>
    <row r="171" spans="1:9" x14ac:dyDescent="0.2">
      <c r="A171" t="s">
        <v>695</v>
      </c>
      <c r="B171">
        <v>0.34699999999999998</v>
      </c>
      <c r="C171">
        <f t="shared" si="2"/>
        <v>0.70680532825774944</v>
      </c>
      <c r="D171" t="s">
        <v>0</v>
      </c>
      <c r="E171" t="s">
        <v>688</v>
      </c>
      <c r="F171" t="s">
        <v>0</v>
      </c>
      <c r="G171" t="s">
        <v>1</v>
      </c>
      <c r="H171" t="s">
        <v>9</v>
      </c>
    </row>
    <row r="172" spans="1:9" x14ac:dyDescent="0.2">
      <c r="A172" t="s">
        <v>695</v>
      </c>
      <c r="B172">
        <v>0.34699999999999998</v>
      </c>
      <c r="C172">
        <f t="shared" si="2"/>
        <v>0.70680532825774944</v>
      </c>
      <c r="D172" t="s">
        <v>9</v>
      </c>
      <c r="E172" t="s">
        <v>688</v>
      </c>
      <c r="F172" t="s">
        <v>0</v>
      </c>
      <c r="G172" t="s">
        <v>1</v>
      </c>
      <c r="H172" t="s">
        <v>9</v>
      </c>
    </row>
    <row r="173" spans="1:9" x14ac:dyDescent="0.2">
      <c r="A173" t="s">
        <v>695</v>
      </c>
      <c r="B173">
        <v>0.34699999999999998</v>
      </c>
      <c r="C173">
        <f t="shared" si="2"/>
        <v>0.70680532825774944</v>
      </c>
      <c r="D173" t="s">
        <v>23</v>
      </c>
      <c r="E173" t="s">
        <v>688</v>
      </c>
      <c r="F173" t="s">
        <v>0</v>
      </c>
      <c r="G173" t="s">
        <v>1</v>
      </c>
      <c r="H173" t="s">
        <v>9</v>
      </c>
    </row>
    <row r="174" spans="1:9" x14ac:dyDescent="0.2">
      <c r="A174" t="s">
        <v>695</v>
      </c>
      <c r="B174">
        <v>0.34699999999999998</v>
      </c>
      <c r="C174">
        <f t="shared" si="2"/>
        <v>0.70680532825774944</v>
      </c>
      <c r="D174" t="s">
        <v>11</v>
      </c>
      <c r="E174" t="s">
        <v>688</v>
      </c>
      <c r="F174" t="s">
        <v>0</v>
      </c>
      <c r="G174" t="s">
        <v>1</v>
      </c>
      <c r="H174" t="s">
        <v>9</v>
      </c>
    </row>
    <row r="175" spans="1:9" x14ac:dyDescent="0.2">
      <c r="A175" t="s">
        <v>695</v>
      </c>
      <c r="B175">
        <v>0.34699999999999998</v>
      </c>
      <c r="C175">
        <f t="shared" si="2"/>
        <v>0.70680532825774944</v>
      </c>
      <c r="D175" t="s">
        <v>12</v>
      </c>
      <c r="E175" t="s">
        <v>688</v>
      </c>
      <c r="F175" t="s">
        <v>0</v>
      </c>
      <c r="G175" t="s">
        <v>1</v>
      </c>
      <c r="H175" t="s">
        <v>9</v>
      </c>
    </row>
    <row r="176" spans="1:9" x14ac:dyDescent="0.2">
      <c r="A176" t="s">
        <v>695</v>
      </c>
      <c r="B176">
        <v>0.34699999999999998</v>
      </c>
      <c r="C176">
        <f t="shared" si="2"/>
        <v>0.70680532825774944</v>
      </c>
      <c r="D176" t="s">
        <v>5</v>
      </c>
      <c r="E176" t="s">
        <v>688</v>
      </c>
      <c r="F176" t="s">
        <v>0</v>
      </c>
      <c r="G176" t="s">
        <v>1</v>
      </c>
      <c r="H176" t="s">
        <v>9</v>
      </c>
    </row>
    <row r="177" spans="1:8" x14ac:dyDescent="0.2">
      <c r="A177" t="s">
        <v>695</v>
      </c>
      <c r="B177">
        <v>0.34699999999999998</v>
      </c>
      <c r="C177">
        <f t="shared" si="2"/>
        <v>0.70680532825774944</v>
      </c>
      <c r="D177" t="s">
        <v>22</v>
      </c>
      <c r="E177" t="s">
        <v>688</v>
      </c>
      <c r="F177" t="s">
        <v>0</v>
      </c>
      <c r="G177" t="s">
        <v>1</v>
      </c>
      <c r="H177" t="s">
        <v>9</v>
      </c>
    </row>
    <row r="178" spans="1:8" x14ac:dyDescent="0.2">
      <c r="A178" t="s">
        <v>695</v>
      </c>
      <c r="B178">
        <v>0.34699999999999998</v>
      </c>
      <c r="C178">
        <f t="shared" si="2"/>
        <v>0.70680532825774944</v>
      </c>
      <c r="D178" t="s">
        <v>13</v>
      </c>
      <c r="E178" t="s">
        <v>688</v>
      </c>
      <c r="F178" t="s">
        <v>0</v>
      </c>
      <c r="G178" t="s">
        <v>1</v>
      </c>
      <c r="H178" t="s">
        <v>9</v>
      </c>
    </row>
    <row r="179" spans="1:8" x14ac:dyDescent="0.2">
      <c r="A179" t="s">
        <v>695</v>
      </c>
      <c r="B179">
        <v>0.34699999999999998</v>
      </c>
      <c r="C179">
        <f t="shared" si="2"/>
        <v>0.70680532825774944</v>
      </c>
      <c r="D179" t="s">
        <v>14</v>
      </c>
      <c r="E179" t="s">
        <v>688</v>
      </c>
      <c r="F179" t="s">
        <v>0</v>
      </c>
      <c r="G179" t="s">
        <v>1</v>
      </c>
      <c r="H179" t="s">
        <v>9</v>
      </c>
    </row>
    <row r="180" spans="1:8" x14ac:dyDescent="0.2">
      <c r="A180" t="s">
        <v>695</v>
      </c>
      <c r="B180">
        <v>0.34699999999999998</v>
      </c>
      <c r="C180">
        <f t="shared" si="2"/>
        <v>0.70680532825774944</v>
      </c>
      <c r="D180" t="s">
        <v>1</v>
      </c>
      <c r="E180" t="s">
        <v>688</v>
      </c>
      <c r="F180" t="s">
        <v>0</v>
      </c>
      <c r="G180" t="s">
        <v>1</v>
      </c>
      <c r="H180" t="s">
        <v>9</v>
      </c>
    </row>
    <row r="181" spans="1:8" x14ac:dyDescent="0.2">
      <c r="A181" t="s">
        <v>697</v>
      </c>
      <c r="B181">
        <v>0</v>
      </c>
      <c r="C181">
        <f t="shared" si="2"/>
        <v>1</v>
      </c>
      <c r="D181" t="s">
        <v>0</v>
      </c>
      <c r="E181" t="s">
        <v>688</v>
      </c>
      <c r="F181" t="s">
        <v>9</v>
      </c>
      <c r="G181" t="s">
        <v>1</v>
      </c>
      <c r="H181" t="s">
        <v>9</v>
      </c>
    </row>
    <row r="182" spans="1:8" x14ac:dyDescent="0.2">
      <c r="A182" t="s">
        <v>697</v>
      </c>
      <c r="B182">
        <v>0</v>
      </c>
      <c r="C182">
        <f t="shared" si="2"/>
        <v>1</v>
      </c>
      <c r="D182" t="s">
        <v>9</v>
      </c>
      <c r="E182" t="s">
        <v>688</v>
      </c>
      <c r="F182" t="s">
        <v>9</v>
      </c>
      <c r="G182" t="s">
        <v>1</v>
      </c>
      <c r="H182" t="s">
        <v>9</v>
      </c>
    </row>
    <row r="183" spans="1:8" x14ac:dyDescent="0.2">
      <c r="A183" t="s">
        <v>697</v>
      </c>
      <c r="B183">
        <v>0</v>
      </c>
      <c r="C183">
        <f t="shared" si="2"/>
        <v>1</v>
      </c>
      <c r="D183" t="s">
        <v>10</v>
      </c>
      <c r="E183" t="s">
        <v>688</v>
      </c>
      <c r="F183" t="s">
        <v>9</v>
      </c>
      <c r="G183" t="s">
        <v>1</v>
      </c>
      <c r="H183" t="s">
        <v>9</v>
      </c>
    </row>
    <row r="184" spans="1:8" x14ac:dyDescent="0.2">
      <c r="A184" t="s">
        <v>697</v>
      </c>
      <c r="B184">
        <v>0</v>
      </c>
      <c r="C184">
        <f t="shared" si="2"/>
        <v>1</v>
      </c>
      <c r="D184" t="s">
        <v>12</v>
      </c>
      <c r="E184" t="s">
        <v>688</v>
      </c>
      <c r="F184" t="s">
        <v>9</v>
      </c>
      <c r="G184" t="s">
        <v>1</v>
      </c>
      <c r="H184" t="s">
        <v>9</v>
      </c>
    </row>
    <row r="185" spans="1:8" x14ac:dyDescent="0.2">
      <c r="A185" t="s">
        <v>697</v>
      </c>
      <c r="B185">
        <v>0</v>
      </c>
      <c r="C185">
        <f t="shared" si="2"/>
        <v>1</v>
      </c>
      <c r="D185" t="s">
        <v>5</v>
      </c>
      <c r="E185" t="s">
        <v>688</v>
      </c>
      <c r="F185" t="s">
        <v>9</v>
      </c>
      <c r="G185" t="s">
        <v>1</v>
      </c>
      <c r="H185" t="s">
        <v>9</v>
      </c>
    </row>
    <row r="186" spans="1:8" x14ac:dyDescent="0.2">
      <c r="A186" t="s">
        <v>697</v>
      </c>
      <c r="B186">
        <v>0</v>
      </c>
      <c r="C186">
        <f t="shared" si="2"/>
        <v>1</v>
      </c>
      <c r="D186" t="s">
        <v>22</v>
      </c>
      <c r="E186" t="s">
        <v>688</v>
      </c>
      <c r="F186" t="s">
        <v>9</v>
      </c>
      <c r="G186" t="s">
        <v>1</v>
      </c>
      <c r="H186" t="s">
        <v>9</v>
      </c>
    </row>
    <row r="187" spans="1:8" x14ac:dyDescent="0.2">
      <c r="A187" t="s">
        <v>697</v>
      </c>
      <c r="B187">
        <v>0</v>
      </c>
      <c r="C187">
        <f t="shared" si="2"/>
        <v>1</v>
      </c>
      <c r="D187" t="s">
        <v>14</v>
      </c>
      <c r="E187" t="s">
        <v>688</v>
      </c>
      <c r="F187" t="s">
        <v>9</v>
      </c>
      <c r="G187" t="s">
        <v>1</v>
      </c>
      <c r="H187" t="s">
        <v>9</v>
      </c>
    </row>
    <row r="188" spans="1:8" x14ac:dyDescent="0.2">
      <c r="A188" t="s">
        <v>697</v>
      </c>
      <c r="B188">
        <v>0</v>
      </c>
      <c r="C188">
        <f t="shared" si="2"/>
        <v>1</v>
      </c>
      <c r="D188" t="s">
        <v>1</v>
      </c>
      <c r="E188" t="s">
        <v>688</v>
      </c>
      <c r="F188" t="s">
        <v>9</v>
      </c>
      <c r="G188" t="s">
        <v>1</v>
      </c>
      <c r="H188" t="s">
        <v>9</v>
      </c>
    </row>
    <row r="189" spans="1:8" x14ac:dyDescent="0.2">
      <c r="A189" t="s">
        <v>697</v>
      </c>
      <c r="B189">
        <v>0</v>
      </c>
      <c r="C189">
        <f t="shared" si="2"/>
        <v>1</v>
      </c>
      <c r="D189" t="s">
        <v>16</v>
      </c>
      <c r="E189" t="s">
        <v>688</v>
      </c>
      <c r="F189" t="s">
        <v>9</v>
      </c>
      <c r="G189" t="s">
        <v>1</v>
      </c>
      <c r="H189" t="s">
        <v>9</v>
      </c>
    </row>
    <row r="190" spans="1:8" x14ac:dyDescent="0.2">
      <c r="A190" t="s">
        <v>724</v>
      </c>
      <c r="B190">
        <v>1.8839999999999999</v>
      </c>
      <c r="C190">
        <f t="shared" si="2"/>
        <v>0.15198096442870093</v>
      </c>
      <c r="D190" t="s">
        <v>18</v>
      </c>
      <c r="E190" t="s">
        <v>688</v>
      </c>
      <c r="F190" t="s">
        <v>26</v>
      </c>
      <c r="G190" t="s">
        <v>1</v>
      </c>
      <c r="H190" t="s">
        <v>9</v>
      </c>
    </row>
    <row r="191" spans="1:8" x14ac:dyDescent="0.2">
      <c r="A191" t="s">
        <v>699</v>
      </c>
      <c r="B191">
        <v>0</v>
      </c>
      <c r="C191">
        <f t="shared" si="2"/>
        <v>1</v>
      </c>
      <c r="D191" t="s">
        <v>0</v>
      </c>
      <c r="E191" t="s">
        <v>688</v>
      </c>
      <c r="F191" t="s">
        <v>23</v>
      </c>
      <c r="G191" t="s">
        <v>1</v>
      </c>
      <c r="H191" t="s">
        <v>9</v>
      </c>
    </row>
    <row r="192" spans="1:8" x14ac:dyDescent="0.2">
      <c r="A192" t="s">
        <v>699</v>
      </c>
      <c r="B192">
        <v>0</v>
      </c>
      <c r="C192">
        <f t="shared" si="2"/>
        <v>1</v>
      </c>
      <c r="D192" t="s">
        <v>9</v>
      </c>
      <c r="E192" t="s">
        <v>688</v>
      </c>
      <c r="F192" t="s">
        <v>23</v>
      </c>
      <c r="G192" t="s">
        <v>1</v>
      </c>
      <c r="H192" t="s">
        <v>9</v>
      </c>
    </row>
    <row r="193" spans="1:8" x14ac:dyDescent="0.2">
      <c r="A193" t="s">
        <v>699</v>
      </c>
      <c r="B193">
        <v>0</v>
      </c>
      <c r="C193">
        <f t="shared" si="2"/>
        <v>1</v>
      </c>
      <c r="D193" t="s">
        <v>24</v>
      </c>
      <c r="E193" t="s">
        <v>688</v>
      </c>
      <c r="F193" t="s">
        <v>23</v>
      </c>
      <c r="G193" t="s">
        <v>1</v>
      </c>
      <c r="H193" t="s">
        <v>9</v>
      </c>
    </row>
    <row r="194" spans="1:8" x14ac:dyDescent="0.2">
      <c r="A194" t="s">
        <v>699</v>
      </c>
      <c r="B194">
        <v>0</v>
      </c>
      <c r="C194">
        <f t="shared" ref="C194:C257" si="3">EXP(-B194)</f>
        <v>1</v>
      </c>
      <c r="D194" t="s">
        <v>23</v>
      </c>
      <c r="E194" t="s">
        <v>688</v>
      </c>
      <c r="F194" t="s">
        <v>23</v>
      </c>
      <c r="G194" t="s">
        <v>1</v>
      </c>
      <c r="H194" t="s">
        <v>9</v>
      </c>
    </row>
    <row r="195" spans="1:8" x14ac:dyDescent="0.2">
      <c r="A195" t="s">
        <v>699</v>
      </c>
      <c r="B195">
        <v>0</v>
      </c>
      <c r="C195">
        <f t="shared" si="3"/>
        <v>1</v>
      </c>
      <c r="D195" t="s">
        <v>11</v>
      </c>
      <c r="E195" t="s">
        <v>688</v>
      </c>
      <c r="F195" t="s">
        <v>23</v>
      </c>
      <c r="G195" t="s">
        <v>1</v>
      </c>
      <c r="H195" t="s">
        <v>9</v>
      </c>
    </row>
    <row r="196" spans="1:8" x14ac:dyDescent="0.2">
      <c r="A196" t="s">
        <v>699</v>
      </c>
      <c r="B196">
        <v>0</v>
      </c>
      <c r="C196">
        <f t="shared" si="3"/>
        <v>1</v>
      </c>
      <c r="D196" t="s">
        <v>22</v>
      </c>
      <c r="E196" t="s">
        <v>688</v>
      </c>
      <c r="F196" t="s">
        <v>23</v>
      </c>
      <c r="G196" t="s">
        <v>1</v>
      </c>
      <c r="H196" t="s">
        <v>9</v>
      </c>
    </row>
    <row r="197" spans="1:8" x14ac:dyDescent="0.2">
      <c r="A197" t="s">
        <v>699</v>
      </c>
      <c r="B197">
        <v>0</v>
      </c>
      <c r="C197">
        <f t="shared" si="3"/>
        <v>1</v>
      </c>
      <c r="D197" t="s">
        <v>13</v>
      </c>
      <c r="E197" t="s">
        <v>688</v>
      </c>
      <c r="F197" t="s">
        <v>23</v>
      </c>
      <c r="G197" t="s">
        <v>1</v>
      </c>
      <c r="H197" t="s">
        <v>9</v>
      </c>
    </row>
    <row r="198" spans="1:8" x14ac:dyDescent="0.2">
      <c r="A198" t="s">
        <v>699</v>
      </c>
      <c r="B198">
        <v>0</v>
      </c>
      <c r="C198">
        <f t="shared" si="3"/>
        <v>1</v>
      </c>
      <c r="D198" t="s">
        <v>2</v>
      </c>
      <c r="E198" t="s">
        <v>688</v>
      </c>
      <c r="F198" t="s">
        <v>23</v>
      </c>
      <c r="G198" t="s">
        <v>1</v>
      </c>
      <c r="H198" t="s">
        <v>9</v>
      </c>
    </row>
    <row r="199" spans="1:8" x14ac:dyDescent="0.2">
      <c r="A199" t="s">
        <v>699</v>
      </c>
      <c r="B199">
        <v>0</v>
      </c>
      <c r="C199">
        <f t="shared" si="3"/>
        <v>1</v>
      </c>
      <c r="D199" t="s">
        <v>14</v>
      </c>
      <c r="E199" t="s">
        <v>688</v>
      </c>
      <c r="F199" t="s">
        <v>23</v>
      </c>
      <c r="G199" t="s">
        <v>1</v>
      </c>
      <c r="H199" t="s">
        <v>9</v>
      </c>
    </row>
    <row r="200" spans="1:8" x14ac:dyDescent="0.2">
      <c r="A200" t="s">
        <v>699</v>
      </c>
      <c r="B200">
        <v>0</v>
      </c>
      <c r="C200">
        <f t="shared" si="3"/>
        <v>1</v>
      </c>
      <c r="D200" t="s">
        <v>1</v>
      </c>
      <c r="E200" t="s">
        <v>688</v>
      </c>
      <c r="F200" t="s">
        <v>23</v>
      </c>
      <c r="G200" t="s">
        <v>1</v>
      </c>
      <c r="H200" t="s">
        <v>9</v>
      </c>
    </row>
    <row r="201" spans="1:8" x14ac:dyDescent="0.2">
      <c r="A201" t="s">
        <v>699</v>
      </c>
      <c r="B201">
        <v>0</v>
      </c>
      <c r="C201">
        <f t="shared" si="3"/>
        <v>1</v>
      </c>
      <c r="D201" t="s">
        <v>16</v>
      </c>
      <c r="E201" t="s">
        <v>688</v>
      </c>
      <c r="F201" t="s">
        <v>23</v>
      </c>
      <c r="G201" t="s">
        <v>1</v>
      </c>
      <c r="H201" t="s">
        <v>9</v>
      </c>
    </row>
    <row r="202" spans="1:8" x14ac:dyDescent="0.2">
      <c r="A202" t="s">
        <v>699</v>
      </c>
      <c r="B202">
        <v>0</v>
      </c>
      <c r="C202">
        <f t="shared" si="3"/>
        <v>1</v>
      </c>
      <c r="D202" t="s">
        <v>17</v>
      </c>
      <c r="E202" t="s">
        <v>688</v>
      </c>
      <c r="F202" t="s">
        <v>23</v>
      </c>
      <c r="G202" t="s">
        <v>1</v>
      </c>
      <c r="H202" t="s">
        <v>9</v>
      </c>
    </row>
    <row r="203" spans="1:8" x14ac:dyDescent="0.2">
      <c r="A203" t="s">
        <v>699</v>
      </c>
      <c r="B203">
        <v>0</v>
      </c>
      <c r="C203">
        <f t="shared" si="3"/>
        <v>1</v>
      </c>
      <c r="D203" t="s">
        <v>18</v>
      </c>
      <c r="E203" t="s">
        <v>688</v>
      </c>
      <c r="F203" t="s">
        <v>23</v>
      </c>
      <c r="G203" t="s">
        <v>1</v>
      </c>
      <c r="H203" t="s">
        <v>9</v>
      </c>
    </row>
    <row r="204" spans="1:8" x14ac:dyDescent="0.2">
      <c r="A204" t="s">
        <v>699</v>
      </c>
      <c r="B204">
        <v>0</v>
      </c>
      <c r="C204">
        <f t="shared" si="3"/>
        <v>1</v>
      </c>
      <c r="D204" t="s">
        <v>20</v>
      </c>
      <c r="E204" t="s">
        <v>688</v>
      </c>
      <c r="F204" t="s">
        <v>23</v>
      </c>
      <c r="G204" t="s">
        <v>1</v>
      </c>
      <c r="H204" t="s">
        <v>9</v>
      </c>
    </row>
    <row r="205" spans="1:8" x14ac:dyDescent="0.2">
      <c r="A205" t="s">
        <v>722</v>
      </c>
      <c r="B205">
        <v>1.1859999999999999</v>
      </c>
      <c r="C205">
        <f t="shared" si="3"/>
        <v>0.30544058614135788</v>
      </c>
      <c r="D205" t="s">
        <v>22</v>
      </c>
      <c r="E205" t="s">
        <v>688</v>
      </c>
      <c r="F205" t="s">
        <v>11</v>
      </c>
      <c r="G205" t="s">
        <v>1</v>
      </c>
      <c r="H205" t="s">
        <v>9</v>
      </c>
    </row>
    <row r="206" spans="1:8" x14ac:dyDescent="0.2">
      <c r="A206" t="s">
        <v>722</v>
      </c>
      <c r="B206">
        <v>1.1859999999999999</v>
      </c>
      <c r="C206">
        <f t="shared" si="3"/>
        <v>0.30544058614135788</v>
      </c>
      <c r="D206" t="s">
        <v>14</v>
      </c>
      <c r="E206" t="s">
        <v>688</v>
      </c>
      <c r="F206" t="s">
        <v>11</v>
      </c>
      <c r="G206" t="s">
        <v>1</v>
      </c>
      <c r="H206" t="s">
        <v>9</v>
      </c>
    </row>
    <row r="207" spans="1:8" x14ac:dyDescent="0.2">
      <c r="A207" t="s">
        <v>720</v>
      </c>
      <c r="B207">
        <v>0.86499999999999999</v>
      </c>
      <c r="C207">
        <f t="shared" si="3"/>
        <v>0.42105155262732119</v>
      </c>
      <c r="D207" t="s">
        <v>23</v>
      </c>
      <c r="E207" t="s">
        <v>688</v>
      </c>
      <c r="F207" t="s">
        <v>17</v>
      </c>
      <c r="G207" t="s">
        <v>1</v>
      </c>
      <c r="H207" t="s">
        <v>9</v>
      </c>
    </row>
    <row r="208" spans="1:8" x14ac:dyDescent="0.2">
      <c r="A208" t="s">
        <v>720</v>
      </c>
      <c r="B208">
        <v>0.86499999999999999</v>
      </c>
      <c r="C208">
        <f t="shared" si="3"/>
        <v>0.42105155262732119</v>
      </c>
      <c r="D208" t="s">
        <v>5</v>
      </c>
      <c r="E208" t="s">
        <v>688</v>
      </c>
      <c r="F208" t="s">
        <v>17</v>
      </c>
      <c r="G208" t="s">
        <v>1</v>
      </c>
      <c r="H208" t="s">
        <v>9</v>
      </c>
    </row>
    <row r="209" spans="1:9" x14ac:dyDescent="0.2">
      <c r="A209" t="s">
        <v>720</v>
      </c>
      <c r="B209">
        <v>0.86499999999999999</v>
      </c>
      <c r="C209">
        <f t="shared" si="3"/>
        <v>0.42105155262732119</v>
      </c>
      <c r="D209" t="s">
        <v>1</v>
      </c>
      <c r="E209" t="s">
        <v>688</v>
      </c>
      <c r="F209" t="s">
        <v>17</v>
      </c>
      <c r="G209" t="s">
        <v>1</v>
      </c>
      <c r="H209" t="s">
        <v>9</v>
      </c>
    </row>
    <row r="210" spans="1:9" x14ac:dyDescent="0.2">
      <c r="A210" t="s">
        <v>720</v>
      </c>
      <c r="B210">
        <v>0.86499999999999999</v>
      </c>
      <c r="C210">
        <f t="shared" si="3"/>
        <v>0.42105155262732119</v>
      </c>
      <c r="D210" t="s">
        <v>17</v>
      </c>
      <c r="E210" t="s">
        <v>688</v>
      </c>
      <c r="F210" t="s">
        <v>17</v>
      </c>
      <c r="G210" t="s">
        <v>1</v>
      </c>
      <c r="H210" t="s">
        <v>9</v>
      </c>
    </row>
    <row r="211" spans="1:9" x14ac:dyDescent="0.2">
      <c r="A211" t="s">
        <v>720</v>
      </c>
      <c r="B211">
        <v>0.86499999999999999</v>
      </c>
      <c r="C211">
        <f t="shared" si="3"/>
        <v>0.42105155262732119</v>
      </c>
      <c r="D211" t="s">
        <v>20</v>
      </c>
      <c r="E211" t="s">
        <v>688</v>
      </c>
      <c r="F211" t="s">
        <v>17</v>
      </c>
      <c r="G211" t="s">
        <v>1</v>
      </c>
      <c r="H211" t="s">
        <v>9</v>
      </c>
    </row>
    <row r="212" spans="1:9" x14ac:dyDescent="0.2">
      <c r="A212" t="s">
        <v>705</v>
      </c>
      <c r="B212">
        <v>0.51800000000000002</v>
      </c>
      <c r="C212">
        <f t="shared" si="3"/>
        <v>0.5957107789003212</v>
      </c>
      <c r="D212" t="s">
        <v>0</v>
      </c>
      <c r="E212" t="s">
        <v>688</v>
      </c>
      <c r="F212" t="s">
        <v>20</v>
      </c>
      <c r="G212" t="s">
        <v>1</v>
      </c>
      <c r="H212" t="s">
        <v>9</v>
      </c>
    </row>
    <row r="213" spans="1:9" x14ac:dyDescent="0.2">
      <c r="A213" t="s">
        <v>705</v>
      </c>
      <c r="B213">
        <v>0.51800000000000002</v>
      </c>
      <c r="C213">
        <f t="shared" si="3"/>
        <v>0.5957107789003212</v>
      </c>
      <c r="D213" t="s">
        <v>8</v>
      </c>
      <c r="E213" t="s">
        <v>688</v>
      </c>
      <c r="F213" t="s">
        <v>20</v>
      </c>
      <c r="G213" t="s">
        <v>1</v>
      </c>
      <c r="H213" t="s">
        <v>9</v>
      </c>
    </row>
    <row r="214" spans="1:9" x14ac:dyDescent="0.2">
      <c r="A214" t="s">
        <v>705</v>
      </c>
      <c r="B214">
        <v>0.51800000000000002</v>
      </c>
      <c r="C214">
        <f t="shared" si="3"/>
        <v>0.5957107789003212</v>
      </c>
      <c r="D214" t="s">
        <v>24</v>
      </c>
      <c r="E214" t="s">
        <v>688</v>
      </c>
      <c r="F214" t="s">
        <v>20</v>
      </c>
      <c r="G214" t="s">
        <v>1</v>
      </c>
      <c r="H214" t="s">
        <v>9</v>
      </c>
    </row>
    <row r="215" spans="1:9" x14ac:dyDescent="0.2">
      <c r="A215" t="s">
        <v>705</v>
      </c>
      <c r="B215">
        <v>0.51800000000000002</v>
      </c>
      <c r="C215">
        <f t="shared" si="3"/>
        <v>0.5957107789003212</v>
      </c>
      <c r="D215" t="s">
        <v>10</v>
      </c>
      <c r="E215" t="s">
        <v>688</v>
      </c>
      <c r="F215" t="s">
        <v>20</v>
      </c>
      <c r="G215" t="s">
        <v>1</v>
      </c>
      <c r="H215" t="s">
        <v>9</v>
      </c>
    </row>
    <row r="216" spans="1:9" x14ac:dyDescent="0.2">
      <c r="A216" t="s">
        <v>705</v>
      </c>
      <c r="B216">
        <v>0.51800000000000002</v>
      </c>
      <c r="C216">
        <f t="shared" si="3"/>
        <v>0.5957107789003212</v>
      </c>
      <c r="D216" t="s">
        <v>5</v>
      </c>
      <c r="E216" t="s">
        <v>688</v>
      </c>
      <c r="F216" t="s">
        <v>20</v>
      </c>
      <c r="G216" t="s">
        <v>1</v>
      </c>
      <c r="H216" t="s">
        <v>9</v>
      </c>
    </row>
    <row r="217" spans="1:9" x14ac:dyDescent="0.2">
      <c r="A217" t="s">
        <v>705</v>
      </c>
      <c r="B217">
        <v>0.51800000000000002</v>
      </c>
      <c r="C217">
        <f t="shared" si="3"/>
        <v>0.5957107789003212</v>
      </c>
      <c r="D217" t="s">
        <v>22</v>
      </c>
      <c r="E217" t="s">
        <v>688</v>
      </c>
      <c r="F217" t="s">
        <v>20</v>
      </c>
      <c r="G217" t="s">
        <v>1</v>
      </c>
      <c r="H217" t="s">
        <v>9</v>
      </c>
    </row>
    <row r="218" spans="1:9" x14ac:dyDescent="0.2">
      <c r="A218" t="s">
        <v>705</v>
      </c>
      <c r="B218">
        <v>0.51800000000000002</v>
      </c>
      <c r="C218">
        <f t="shared" si="3"/>
        <v>0.5957107789003212</v>
      </c>
      <c r="D218" t="s">
        <v>14</v>
      </c>
      <c r="E218" t="s">
        <v>688</v>
      </c>
      <c r="F218" t="s">
        <v>20</v>
      </c>
      <c r="G218" t="s">
        <v>1</v>
      </c>
      <c r="H218" t="s">
        <v>9</v>
      </c>
    </row>
    <row r="219" spans="1:9" x14ac:dyDescent="0.2">
      <c r="A219" t="s">
        <v>705</v>
      </c>
      <c r="B219">
        <v>0.51800000000000002</v>
      </c>
      <c r="C219">
        <f t="shared" si="3"/>
        <v>0.5957107789003212</v>
      </c>
      <c r="D219" t="s">
        <v>16</v>
      </c>
      <c r="E219" t="s">
        <v>688</v>
      </c>
      <c r="F219" t="s">
        <v>20</v>
      </c>
      <c r="G219" t="s">
        <v>1</v>
      </c>
      <c r="H219" t="s">
        <v>9</v>
      </c>
    </row>
    <row r="220" spans="1:9" x14ac:dyDescent="0.2">
      <c r="A220" t="s">
        <v>705</v>
      </c>
      <c r="B220">
        <v>0.51800000000000002</v>
      </c>
      <c r="C220">
        <f t="shared" si="3"/>
        <v>0.5957107789003212</v>
      </c>
      <c r="D220" t="s">
        <v>18</v>
      </c>
      <c r="E220" t="s">
        <v>688</v>
      </c>
      <c r="F220" t="s">
        <v>20</v>
      </c>
      <c r="G220" t="s">
        <v>1</v>
      </c>
      <c r="H220" t="s">
        <v>9</v>
      </c>
      <c r="I220">
        <f>AVERAGE(C73:C220)</f>
        <v>0.90368737180204284</v>
      </c>
    </row>
    <row r="221" spans="1:9" x14ac:dyDescent="0.2">
      <c r="A221" t="s">
        <v>696</v>
      </c>
      <c r="B221">
        <v>0</v>
      </c>
      <c r="C221">
        <f t="shared" si="3"/>
        <v>1</v>
      </c>
      <c r="D221" t="s">
        <v>0</v>
      </c>
      <c r="E221" t="s">
        <v>688</v>
      </c>
      <c r="F221" t="s">
        <v>8</v>
      </c>
      <c r="G221" t="s">
        <v>1</v>
      </c>
      <c r="H221" t="s">
        <v>16</v>
      </c>
    </row>
    <row r="222" spans="1:9" x14ac:dyDescent="0.2">
      <c r="A222" t="s">
        <v>696</v>
      </c>
      <c r="B222">
        <v>0</v>
      </c>
      <c r="C222">
        <f t="shared" si="3"/>
        <v>1</v>
      </c>
      <c r="D222" t="s">
        <v>9</v>
      </c>
      <c r="E222" t="s">
        <v>688</v>
      </c>
      <c r="F222" t="s">
        <v>8</v>
      </c>
      <c r="G222" t="s">
        <v>1</v>
      </c>
      <c r="H222" t="s">
        <v>16</v>
      </c>
    </row>
    <row r="223" spans="1:9" x14ac:dyDescent="0.2">
      <c r="A223" t="s">
        <v>696</v>
      </c>
      <c r="B223">
        <v>0</v>
      </c>
      <c r="C223">
        <f t="shared" si="3"/>
        <v>1</v>
      </c>
      <c r="D223" t="s">
        <v>24</v>
      </c>
      <c r="E223" t="s">
        <v>688</v>
      </c>
      <c r="F223" t="s">
        <v>8</v>
      </c>
      <c r="G223" t="s">
        <v>1</v>
      </c>
      <c r="H223" t="s">
        <v>16</v>
      </c>
    </row>
    <row r="224" spans="1:9" x14ac:dyDescent="0.2">
      <c r="A224" t="s">
        <v>696</v>
      </c>
      <c r="B224">
        <v>0</v>
      </c>
      <c r="C224">
        <f t="shared" si="3"/>
        <v>1</v>
      </c>
      <c r="D224" t="s">
        <v>10</v>
      </c>
      <c r="E224" t="s">
        <v>688</v>
      </c>
      <c r="F224" t="s">
        <v>8</v>
      </c>
      <c r="G224" t="s">
        <v>1</v>
      </c>
      <c r="H224" t="s">
        <v>16</v>
      </c>
    </row>
    <row r="225" spans="1:8" x14ac:dyDescent="0.2">
      <c r="A225" t="s">
        <v>696</v>
      </c>
      <c r="B225">
        <v>0</v>
      </c>
      <c r="C225">
        <f t="shared" si="3"/>
        <v>1</v>
      </c>
      <c r="D225" t="s">
        <v>12</v>
      </c>
      <c r="E225" t="s">
        <v>688</v>
      </c>
      <c r="F225" t="s">
        <v>8</v>
      </c>
      <c r="G225" t="s">
        <v>1</v>
      </c>
      <c r="H225" t="s">
        <v>16</v>
      </c>
    </row>
    <row r="226" spans="1:8" x14ac:dyDescent="0.2">
      <c r="A226" t="s">
        <v>696</v>
      </c>
      <c r="B226">
        <v>0</v>
      </c>
      <c r="C226">
        <f t="shared" si="3"/>
        <v>1</v>
      </c>
      <c r="D226" t="s">
        <v>5</v>
      </c>
      <c r="E226" t="s">
        <v>688</v>
      </c>
      <c r="F226" t="s">
        <v>8</v>
      </c>
      <c r="G226" t="s">
        <v>1</v>
      </c>
      <c r="H226" t="s">
        <v>16</v>
      </c>
    </row>
    <row r="227" spans="1:8" x14ac:dyDescent="0.2">
      <c r="A227" t="s">
        <v>696</v>
      </c>
      <c r="B227">
        <v>0</v>
      </c>
      <c r="C227">
        <f t="shared" si="3"/>
        <v>1</v>
      </c>
      <c r="D227" t="s">
        <v>22</v>
      </c>
      <c r="E227" t="s">
        <v>688</v>
      </c>
      <c r="F227" t="s">
        <v>8</v>
      </c>
      <c r="G227" t="s">
        <v>1</v>
      </c>
      <c r="H227" t="s">
        <v>16</v>
      </c>
    </row>
    <row r="228" spans="1:8" x14ac:dyDescent="0.2">
      <c r="A228" t="s">
        <v>696</v>
      </c>
      <c r="B228">
        <v>0</v>
      </c>
      <c r="C228">
        <f t="shared" si="3"/>
        <v>1</v>
      </c>
      <c r="D228" t="s">
        <v>13</v>
      </c>
      <c r="E228" t="s">
        <v>688</v>
      </c>
      <c r="F228" t="s">
        <v>8</v>
      </c>
      <c r="G228" t="s">
        <v>1</v>
      </c>
      <c r="H228" t="s">
        <v>16</v>
      </c>
    </row>
    <row r="229" spans="1:8" x14ac:dyDescent="0.2">
      <c r="A229" t="s">
        <v>696</v>
      </c>
      <c r="B229">
        <v>0</v>
      </c>
      <c r="C229">
        <f t="shared" si="3"/>
        <v>1</v>
      </c>
      <c r="D229" t="s">
        <v>2</v>
      </c>
      <c r="E229" t="s">
        <v>688</v>
      </c>
      <c r="F229" t="s">
        <v>8</v>
      </c>
      <c r="G229" t="s">
        <v>1</v>
      </c>
      <c r="H229" t="s">
        <v>16</v>
      </c>
    </row>
    <row r="230" spans="1:8" x14ac:dyDescent="0.2">
      <c r="A230" t="s">
        <v>696</v>
      </c>
      <c r="B230">
        <v>0</v>
      </c>
      <c r="C230">
        <f t="shared" si="3"/>
        <v>1</v>
      </c>
      <c r="D230" t="s">
        <v>14</v>
      </c>
      <c r="E230" t="s">
        <v>688</v>
      </c>
      <c r="F230" t="s">
        <v>8</v>
      </c>
      <c r="G230" t="s">
        <v>1</v>
      </c>
      <c r="H230" t="s">
        <v>16</v>
      </c>
    </row>
    <row r="231" spans="1:8" x14ac:dyDescent="0.2">
      <c r="A231" t="s">
        <v>696</v>
      </c>
      <c r="B231">
        <v>0</v>
      </c>
      <c r="C231">
        <f t="shared" si="3"/>
        <v>1</v>
      </c>
      <c r="D231" t="s">
        <v>18</v>
      </c>
      <c r="E231" t="s">
        <v>688</v>
      </c>
      <c r="F231" t="s">
        <v>8</v>
      </c>
      <c r="G231" t="s">
        <v>1</v>
      </c>
      <c r="H231" t="s">
        <v>16</v>
      </c>
    </row>
    <row r="232" spans="1:8" x14ac:dyDescent="0.2">
      <c r="A232" t="s">
        <v>696</v>
      </c>
      <c r="B232">
        <v>0</v>
      </c>
      <c r="C232">
        <f t="shared" si="3"/>
        <v>1</v>
      </c>
      <c r="D232" t="s">
        <v>20</v>
      </c>
      <c r="E232" t="s">
        <v>688</v>
      </c>
      <c r="F232" t="s">
        <v>8</v>
      </c>
      <c r="G232" t="s">
        <v>1</v>
      </c>
      <c r="H232" t="s">
        <v>16</v>
      </c>
    </row>
    <row r="233" spans="1:8" x14ac:dyDescent="0.2">
      <c r="A233" t="s">
        <v>698</v>
      </c>
      <c r="B233">
        <v>0</v>
      </c>
      <c r="C233">
        <f t="shared" si="3"/>
        <v>1</v>
      </c>
      <c r="D233" t="s">
        <v>0</v>
      </c>
      <c r="E233" t="s">
        <v>688</v>
      </c>
      <c r="F233" t="s">
        <v>24</v>
      </c>
      <c r="G233" t="s">
        <v>1</v>
      </c>
      <c r="H233" t="s">
        <v>16</v>
      </c>
    </row>
    <row r="234" spans="1:8" x14ac:dyDescent="0.2">
      <c r="A234" t="s">
        <v>698</v>
      </c>
      <c r="B234">
        <v>0</v>
      </c>
      <c r="C234">
        <f t="shared" si="3"/>
        <v>1</v>
      </c>
      <c r="D234" t="s">
        <v>9</v>
      </c>
      <c r="E234" t="s">
        <v>688</v>
      </c>
      <c r="F234" t="s">
        <v>24</v>
      </c>
      <c r="G234" t="s">
        <v>1</v>
      </c>
      <c r="H234" t="s">
        <v>16</v>
      </c>
    </row>
    <row r="235" spans="1:8" x14ac:dyDescent="0.2">
      <c r="A235" t="s">
        <v>698</v>
      </c>
      <c r="B235">
        <v>0</v>
      </c>
      <c r="C235">
        <f t="shared" si="3"/>
        <v>1</v>
      </c>
      <c r="D235" t="s">
        <v>23</v>
      </c>
      <c r="E235" t="s">
        <v>688</v>
      </c>
      <c r="F235" t="s">
        <v>24</v>
      </c>
      <c r="G235" t="s">
        <v>1</v>
      </c>
      <c r="H235" t="s">
        <v>16</v>
      </c>
    </row>
    <row r="236" spans="1:8" x14ac:dyDescent="0.2">
      <c r="A236" t="s">
        <v>698</v>
      </c>
      <c r="B236">
        <v>0</v>
      </c>
      <c r="C236">
        <f t="shared" si="3"/>
        <v>1</v>
      </c>
      <c r="D236" t="s">
        <v>11</v>
      </c>
      <c r="E236" t="s">
        <v>688</v>
      </c>
      <c r="F236" t="s">
        <v>24</v>
      </c>
      <c r="G236" t="s">
        <v>1</v>
      </c>
      <c r="H236" t="s">
        <v>16</v>
      </c>
    </row>
    <row r="237" spans="1:8" x14ac:dyDescent="0.2">
      <c r="A237" t="s">
        <v>698</v>
      </c>
      <c r="B237">
        <v>0</v>
      </c>
      <c r="C237">
        <f t="shared" si="3"/>
        <v>1</v>
      </c>
      <c r="D237" t="s">
        <v>12</v>
      </c>
      <c r="E237" t="s">
        <v>688</v>
      </c>
      <c r="F237" t="s">
        <v>24</v>
      </c>
      <c r="G237" t="s">
        <v>1</v>
      </c>
      <c r="H237" t="s">
        <v>16</v>
      </c>
    </row>
    <row r="238" spans="1:8" x14ac:dyDescent="0.2">
      <c r="A238" t="s">
        <v>698</v>
      </c>
      <c r="B238">
        <v>0</v>
      </c>
      <c r="C238">
        <f t="shared" si="3"/>
        <v>1</v>
      </c>
      <c r="D238" t="s">
        <v>5</v>
      </c>
      <c r="E238" t="s">
        <v>688</v>
      </c>
      <c r="F238" t="s">
        <v>24</v>
      </c>
      <c r="G238" t="s">
        <v>1</v>
      </c>
      <c r="H238" t="s">
        <v>16</v>
      </c>
    </row>
    <row r="239" spans="1:8" x14ac:dyDescent="0.2">
      <c r="A239" t="s">
        <v>698</v>
      </c>
      <c r="B239">
        <v>0</v>
      </c>
      <c r="C239">
        <f t="shared" si="3"/>
        <v>1</v>
      </c>
      <c r="D239" t="s">
        <v>14</v>
      </c>
      <c r="E239" t="s">
        <v>688</v>
      </c>
      <c r="F239" t="s">
        <v>24</v>
      </c>
      <c r="G239" t="s">
        <v>1</v>
      </c>
      <c r="H239" t="s">
        <v>16</v>
      </c>
    </row>
    <row r="240" spans="1:8" x14ac:dyDescent="0.2">
      <c r="A240" t="s">
        <v>698</v>
      </c>
      <c r="B240">
        <v>0</v>
      </c>
      <c r="C240">
        <f t="shared" si="3"/>
        <v>1</v>
      </c>
      <c r="D240" t="s">
        <v>15</v>
      </c>
      <c r="E240" t="s">
        <v>688</v>
      </c>
      <c r="F240" t="s">
        <v>24</v>
      </c>
      <c r="G240" t="s">
        <v>1</v>
      </c>
      <c r="H240" t="s">
        <v>16</v>
      </c>
    </row>
    <row r="241" spans="1:8" x14ac:dyDescent="0.2">
      <c r="A241" t="s">
        <v>698</v>
      </c>
      <c r="B241">
        <v>0</v>
      </c>
      <c r="C241">
        <f t="shared" si="3"/>
        <v>1</v>
      </c>
      <c r="D241" t="s">
        <v>16</v>
      </c>
      <c r="E241" t="s">
        <v>688</v>
      </c>
      <c r="F241" t="s">
        <v>24</v>
      </c>
      <c r="G241" t="s">
        <v>1</v>
      </c>
      <c r="H241" t="s">
        <v>16</v>
      </c>
    </row>
    <row r="242" spans="1:8" x14ac:dyDescent="0.2">
      <c r="A242" t="s">
        <v>698</v>
      </c>
      <c r="B242">
        <v>0</v>
      </c>
      <c r="C242">
        <f t="shared" si="3"/>
        <v>1</v>
      </c>
      <c r="D242" t="s">
        <v>18</v>
      </c>
      <c r="E242" t="s">
        <v>688</v>
      </c>
      <c r="F242" t="s">
        <v>24</v>
      </c>
      <c r="G242" t="s">
        <v>1</v>
      </c>
      <c r="H242" t="s">
        <v>16</v>
      </c>
    </row>
    <row r="243" spans="1:8" x14ac:dyDescent="0.2">
      <c r="A243" t="s">
        <v>698</v>
      </c>
      <c r="B243">
        <v>0</v>
      </c>
      <c r="C243">
        <f t="shared" si="3"/>
        <v>1</v>
      </c>
      <c r="D243" t="s">
        <v>20</v>
      </c>
      <c r="E243" t="s">
        <v>688</v>
      </c>
      <c r="F243" t="s">
        <v>24</v>
      </c>
      <c r="G243" t="s">
        <v>1</v>
      </c>
      <c r="H243" t="s">
        <v>16</v>
      </c>
    </row>
    <row r="244" spans="1:8" x14ac:dyDescent="0.2">
      <c r="A244" t="s">
        <v>700</v>
      </c>
      <c r="B244">
        <v>0</v>
      </c>
      <c r="C244">
        <f t="shared" si="3"/>
        <v>1</v>
      </c>
      <c r="D244" t="s">
        <v>0</v>
      </c>
      <c r="E244" t="s">
        <v>688</v>
      </c>
      <c r="F244" t="s">
        <v>12</v>
      </c>
      <c r="G244" t="s">
        <v>1</v>
      </c>
      <c r="H244" t="s">
        <v>16</v>
      </c>
    </row>
    <row r="245" spans="1:8" x14ac:dyDescent="0.2">
      <c r="A245" t="s">
        <v>700</v>
      </c>
      <c r="B245">
        <v>0</v>
      </c>
      <c r="C245">
        <f t="shared" si="3"/>
        <v>1</v>
      </c>
      <c r="D245" t="s">
        <v>8</v>
      </c>
      <c r="E245" t="s">
        <v>688</v>
      </c>
      <c r="F245" t="s">
        <v>12</v>
      </c>
      <c r="G245" t="s">
        <v>1</v>
      </c>
      <c r="H245" t="s">
        <v>16</v>
      </c>
    </row>
    <row r="246" spans="1:8" x14ac:dyDescent="0.2">
      <c r="A246" t="s">
        <v>700</v>
      </c>
      <c r="B246">
        <v>0</v>
      </c>
      <c r="C246">
        <f t="shared" si="3"/>
        <v>1</v>
      </c>
      <c r="D246" t="s">
        <v>9</v>
      </c>
      <c r="E246" t="s">
        <v>688</v>
      </c>
      <c r="F246" t="s">
        <v>12</v>
      </c>
      <c r="G246" t="s">
        <v>1</v>
      </c>
      <c r="H246" t="s">
        <v>16</v>
      </c>
    </row>
    <row r="247" spans="1:8" x14ac:dyDescent="0.2">
      <c r="A247" t="s">
        <v>700</v>
      </c>
      <c r="B247">
        <v>0</v>
      </c>
      <c r="C247">
        <f t="shared" si="3"/>
        <v>1</v>
      </c>
      <c r="D247" t="s">
        <v>24</v>
      </c>
      <c r="E247" t="s">
        <v>688</v>
      </c>
      <c r="F247" t="s">
        <v>12</v>
      </c>
      <c r="G247" t="s">
        <v>1</v>
      </c>
      <c r="H247" t="s">
        <v>16</v>
      </c>
    </row>
    <row r="248" spans="1:8" x14ac:dyDescent="0.2">
      <c r="A248" t="s">
        <v>700</v>
      </c>
      <c r="B248">
        <v>0</v>
      </c>
      <c r="C248">
        <f t="shared" si="3"/>
        <v>1</v>
      </c>
      <c r="D248" t="s">
        <v>10</v>
      </c>
      <c r="E248" t="s">
        <v>688</v>
      </c>
      <c r="F248" t="s">
        <v>12</v>
      </c>
      <c r="G248" t="s">
        <v>1</v>
      </c>
      <c r="H248" t="s">
        <v>16</v>
      </c>
    </row>
    <row r="249" spans="1:8" x14ac:dyDescent="0.2">
      <c r="A249" t="s">
        <v>700</v>
      </c>
      <c r="B249">
        <v>0</v>
      </c>
      <c r="C249">
        <f t="shared" si="3"/>
        <v>1</v>
      </c>
      <c r="D249" t="s">
        <v>11</v>
      </c>
      <c r="E249" t="s">
        <v>688</v>
      </c>
      <c r="F249" t="s">
        <v>12</v>
      </c>
      <c r="G249" t="s">
        <v>1</v>
      </c>
      <c r="H249" t="s">
        <v>16</v>
      </c>
    </row>
    <row r="250" spans="1:8" x14ac:dyDescent="0.2">
      <c r="A250" t="s">
        <v>700</v>
      </c>
      <c r="B250">
        <v>0</v>
      </c>
      <c r="C250">
        <f t="shared" si="3"/>
        <v>1</v>
      </c>
      <c r="D250" t="s">
        <v>12</v>
      </c>
      <c r="E250" t="s">
        <v>688</v>
      </c>
      <c r="F250" t="s">
        <v>12</v>
      </c>
      <c r="G250" t="s">
        <v>1</v>
      </c>
      <c r="H250" t="s">
        <v>16</v>
      </c>
    </row>
    <row r="251" spans="1:8" x14ac:dyDescent="0.2">
      <c r="A251" t="s">
        <v>700</v>
      </c>
      <c r="B251">
        <v>0</v>
      </c>
      <c r="C251">
        <f t="shared" si="3"/>
        <v>1</v>
      </c>
      <c r="D251" t="s">
        <v>5</v>
      </c>
      <c r="E251" t="s">
        <v>688</v>
      </c>
      <c r="F251" t="s">
        <v>12</v>
      </c>
      <c r="G251" t="s">
        <v>1</v>
      </c>
      <c r="H251" t="s">
        <v>16</v>
      </c>
    </row>
    <row r="252" spans="1:8" x14ac:dyDescent="0.2">
      <c r="A252" t="s">
        <v>700</v>
      </c>
      <c r="B252">
        <v>0</v>
      </c>
      <c r="C252">
        <f t="shared" si="3"/>
        <v>1</v>
      </c>
      <c r="D252" t="s">
        <v>22</v>
      </c>
      <c r="E252" t="s">
        <v>688</v>
      </c>
      <c r="F252" t="s">
        <v>12</v>
      </c>
      <c r="G252" t="s">
        <v>1</v>
      </c>
      <c r="H252" t="s">
        <v>16</v>
      </c>
    </row>
    <row r="253" spans="1:8" x14ac:dyDescent="0.2">
      <c r="A253" t="s">
        <v>700</v>
      </c>
      <c r="B253">
        <v>0</v>
      </c>
      <c r="C253">
        <f t="shared" si="3"/>
        <v>1</v>
      </c>
      <c r="D253" t="s">
        <v>13</v>
      </c>
      <c r="E253" t="s">
        <v>688</v>
      </c>
      <c r="F253" t="s">
        <v>12</v>
      </c>
      <c r="G253" t="s">
        <v>1</v>
      </c>
      <c r="H253" t="s">
        <v>16</v>
      </c>
    </row>
    <row r="254" spans="1:8" x14ac:dyDescent="0.2">
      <c r="A254" t="s">
        <v>700</v>
      </c>
      <c r="B254">
        <v>0</v>
      </c>
      <c r="C254">
        <f t="shared" si="3"/>
        <v>1</v>
      </c>
      <c r="D254" t="s">
        <v>2</v>
      </c>
      <c r="E254" t="s">
        <v>688</v>
      </c>
      <c r="F254" t="s">
        <v>12</v>
      </c>
      <c r="G254" t="s">
        <v>1</v>
      </c>
      <c r="H254" t="s">
        <v>16</v>
      </c>
    </row>
    <row r="255" spans="1:8" x14ac:dyDescent="0.2">
      <c r="A255" t="s">
        <v>700</v>
      </c>
      <c r="B255">
        <v>0</v>
      </c>
      <c r="C255">
        <f t="shared" si="3"/>
        <v>1</v>
      </c>
      <c r="D255" t="s">
        <v>14</v>
      </c>
      <c r="E255" t="s">
        <v>688</v>
      </c>
      <c r="F255" t="s">
        <v>12</v>
      </c>
      <c r="G255" t="s">
        <v>1</v>
      </c>
      <c r="H255" t="s">
        <v>16</v>
      </c>
    </row>
    <row r="256" spans="1:8" x14ac:dyDescent="0.2">
      <c r="A256" t="s">
        <v>700</v>
      </c>
      <c r="B256">
        <v>0</v>
      </c>
      <c r="C256">
        <f t="shared" si="3"/>
        <v>1</v>
      </c>
      <c r="D256" t="s">
        <v>1</v>
      </c>
      <c r="E256" t="s">
        <v>688</v>
      </c>
      <c r="F256" t="s">
        <v>12</v>
      </c>
      <c r="G256" t="s">
        <v>1</v>
      </c>
      <c r="H256" t="s">
        <v>16</v>
      </c>
    </row>
    <row r="257" spans="1:8" x14ac:dyDescent="0.2">
      <c r="A257" t="s">
        <v>700</v>
      </c>
      <c r="B257">
        <v>0</v>
      </c>
      <c r="C257">
        <f t="shared" si="3"/>
        <v>1</v>
      </c>
      <c r="D257" t="s">
        <v>15</v>
      </c>
      <c r="E257" t="s">
        <v>688</v>
      </c>
      <c r="F257" t="s">
        <v>12</v>
      </c>
      <c r="G257" t="s">
        <v>1</v>
      </c>
      <c r="H257" t="s">
        <v>16</v>
      </c>
    </row>
    <row r="258" spans="1:8" x14ac:dyDescent="0.2">
      <c r="A258" t="s">
        <v>700</v>
      </c>
      <c r="B258">
        <v>0</v>
      </c>
      <c r="C258">
        <f t="shared" ref="C258:C321" si="4">EXP(-B258)</f>
        <v>1</v>
      </c>
      <c r="D258" t="s">
        <v>16</v>
      </c>
      <c r="E258" t="s">
        <v>688</v>
      </c>
      <c r="F258" t="s">
        <v>12</v>
      </c>
      <c r="G258" t="s">
        <v>1</v>
      </c>
      <c r="H258" t="s">
        <v>16</v>
      </c>
    </row>
    <row r="259" spans="1:8" x14ac:dyDescent="0.2">
      <c r="A259" t="s">
        <v>700</v>
      </c>
      <c r="B259">
        <v>0</v>
      </c>
      <c r="C259">
        <f t="shared" si="4"/>
        <v>1</v>
      </c>
      <c r="D259" t="s">
        <v>25</v>
      </c>
      <c r="E259" t="s">
        <v>688</v>
      </c>
      <c r="F259" t="s">
        <v>12</v>
      </c>
      <c r="G259" t="s">
        <v>1</v>
      </c>
      <c r="H259" t="s">
        <v>16</v>
      </c>
    </row>
    <row r="260" spans="1:8" x14ac:dyDescent="0.2">
      <c r="A260" t="s">
        <v>700</v>
      </c>
      <c r="B260">
        <v>0</v>
      </c>
      <c r="C260">
        <f t="shared" si="4"/>
        <v>1</v>
      </c>
      <c r="D260" t="s">
        <v>17</v>
      </c>
      <c r="E260" t="s">
        <v>688</v>
      </c>
      <c r="F260" t="s">
        <v>12</v>
      </c>
      <c r="G260" t="s">
        <v>1</v>
      </c>
      <c r="H260" t="s">
        <v>16</v>
      </c>
    </row>
    <row r="261" spans="1:8" x14ac:dyDescent="0.2">
      <c r="A261" t="s">
        <v>700</v>
      </c>
      <c r="B261">
        <v>0</v>
      </c>
      <c r="C261">
        <f t="shared" si="4"/>
        <v>1</v>
      </c>
      <c r="D261" t="s">
        <v>18</v>
      </c>
      <c r="E261" t="s">
        <v>688</v>
      </c>
      <c r="F261" t="s">
        <v>12</v>
      </c>
      <c r="G261" t="s">
        <v>1</v>
      </c>
      <c r="H261" t="s">
        <v>16</v>
      </c>
    </row>
    <row r="262" spans="1:8" x14ac:dyDescent="0.2">
      <c r="A262" t="s">
        <v>700</v>
      </c>
      <c r="B262">
        <v>0</v>
      </c>
      <c r="C262">
        <f t="shared" si="4"/>
        <v>1</v>
      </c>
      <c r="D262" t="s">
        <v>20</v>
      </c>
      <c r="E262" t="s">
        <v>688</v>
      </c>
      <c r="F262" t="s">
        <v>12</v>
      </c>
      <c r="G262" t="s">
        <v>1</v>
      </c>
      <c r="H262" t="s">
        <v>16</v>
      </c>
    </row>
    <row r="263" spans="1:8" x14ac:dyDescent="0.2">
      <c r="A263" t="s">
        <v>701</v>
      </c>
      <c r="B263">
        <v>0</v>
      </c>
      <c r="C263">
        <f t="shared" si="4"/>
        <v>1</v>
      </c>
      <c r="D263" t="s">
        <v>0</v>
      </c>
      <c r="E263" t="s">
        <v>688</v>
      </c>
      <c r="F263" t="s">
        <v>2</v>
      </c>
      <c r="G263" t="s">
        <v>1</v>
      </c>
      <c r="H263" t="s">
        <v>16</v>
      </c>
    </row>
    <row r="264" spans="1:8" x14ac:dyDescent="0.2">
      <c r="A264" t="s">
        <v>701</v>
      </c>
      <c r="B264">
        <v>0</v>
      </c>
      <c r="C264">
        <f t="shared" si="4"/>
        <v>1</v>
      </c>
      <c r="D264" t="s">
        <v>8</v>
      </c>
      <c r="E264" t="s">
        <v>688</v>
      </c>
      <c r="F264" t="s">
        <v>2</v>
      </c>
      <c r="G264" t="s">
        <v>1</v>
      </c>
      <c r="H264" t="s">
        <v>16</v>
      </c>
    </row>
    <row r="265" spans="1:8" x14ac:dyDescent="0.2">
      <c r="A265" t="s">
        <v>701</v>
      </c>
      <c r="B265">
        <v>0</v>
      </c>
      <c r="C265">
        <f t="shared" si="4"/>
        <v>1</v>
      </c>
      <c r="D265" t="s">
        <v>9</v>
      </c>
      <c r="E265" t="s">
        <v>688</v>
      </c>
      <c r="F265" t="s">
        <v>2</v>
      </c>
      <c r="G265" t="s">
        <v>1</v>
      </c>
      <c r="H265" t="s">
        <v>16</v>
      </c>
    </row>
    <row r="266" spans="1:8" x14ac:dyDescent="0.2">
      <c r="A266" t="s">
        <v>701</v>
      </c>
      <c r="B266">
        <v>0</v>
      </c>
      <c r="C266">
        <f t="shared" si="4"/>
        <v>1</v>
      </c>
      <c r="D266" t="s">
        <v>10</v>
      </c>
      <c r="E266" t="s">
        <v>688</v>
      </c>
      <c r="F266" t="s">
        <v>2</v>
      </c>
      <c r="G266" t="s">
        <v>1</v>
      </c>
      <c r="H266" t="s">
        <v>16</v>
      </c>
    </row>
    <row r="267" spans="1:8" x14ac:dyDescent="0.2">
      <c r="A267" t="s">
        <v>701</v>
      </c>
      <c r="B267">
        <v>0</v>
      </c>
      <c r="C267">
        <f t="shared" si="4"/>
        <v>1</v>
      </c>
      <c r="D267" t="s">
        <v>11</v>
      </c>
      <c r="E267" t="s">
        <v>688</v>
      </c>
      <c r="F267" t="s">
        <v>2</v>
      </c>
      <c r="G267" t="s">
        <v>1</v>
      </c>
      <c r="H267" t="s">
        <v>16</v>
      </c>
    </row>
    <row r="268" spans="1:8" x14ac:dyDescent="0.2">
      <c r="A268" t="s">
        <v>701</v>
      </c>
      <c r="B268">
        <v>0</v>
      </c>
      <c r="C268">
        <f t="shared" si="4"/>
        <v>1</v>
      </c>
      <c r="D268" t="s">
        <v>12</v>
      </c>
      <c r="E268" t="s">
        <v>688</v>
      </c>
      <c r="F268" t="s">
        <v>2</v>
      </c>
      <c r="G268" t="s">
        <v>1</v>
      </c>
      <c r="H268" t="s">
        <v>16</v>
      </c>
    </row>
    <row r="269" spans="1:8" x14ac:dyDescent="0.2">
      <c r="A269" t="s">
        <v>701</v>
      </c>
      <c r="B269">
        <v>0</v>
      </c>
      <c r="C269">
        <f t="shared" si="4"/>
        <v>1</v>
      </c>
      <c r="D269" t="s">
        <v>5</v>
      </c>
      <c r="E269" t="s">
        <v>688</v>
      </c>
      <c r="F269" t="s">
        <v>2</v>
      </c>
      <c r="G269" t="s">
        <v>1</v>
      </c>
      <c r="H269" t="s">
        <v>16</v>
      </c>
    </row>
    <row r="270" spans="1:8" x14ac:dyDescent="0.2">
      <c r="A270" t="s">
        <v>701</v>
      </c>
      <c r="B270">
        <v>0</v>
      </c>
      <c r="C270">
        <f t="shared" si="4"/>
        <v>1</v>
      </c>
      <c r="D270" t="s">
        <v>13</v>
      </c>
      <c r="E270" t="s">
        <v>688</v>
      </c>
      <c r="F270" t="s">
        <v>2</v>
      </c>
      <c r="G270" t="s">
        <v>1</v>
      </c>
      <c r="H270" t="s">
        <v>16</v>
      </c>
    </row>
    <row r="271" spans="1:8" x14ac:dyDescent="0.2">
      <c r="A271" t="s">
        <v>701</v>
      </c>
      <c r="B271">
        <v>0</v>
      </c>
      <c r="C271">
        <f t="shared" si="4"/>
        <v>1</v>
      </c>
      <c r="D271" t="s">
        <v>2</v>
      </c>
      <c r="E271" t="s">
        <v>688</v>
      </c>
      <c r="F271" t="s">
        <v>2</v>
      </c>
      <c r="G271" t="s">
        <v>1</v>
      </c>
      <c r="H271" t="s">
        <v>16</v>
      </c>
    </row>
    <row r="272" spans="1:8" x14ac:dyDescent="0.2">
      <c r="A272" t="s">
        <v>701</v>
      </c>
      <c r="B272">
        <v>0</v>
      </c>
      <c r="C272">
        <f t="shared" si="4"/>
        <v>1</v>
      </c>
      <c r="D272" t="s">
        <v>14</v>
      </c>
      <c r="E272" t="s">
        <v>688</v>
      </c>
      <c r="F272" t="s">
        <v>2</v>
      </c>
      <c r="G272" t="s">
        <v>1</v>
      </c>
      <c r="H272" t="s">
        <v>16</v>
      </c>
    </row>
    <row r="273" spans="1:8" x14ac:dyDescent="0.2">
      <c r="A273" t="s">
        <v>701</v>
      </c>
      <c r="B273">
        <v>0</v>
      </c>
      <c r="C273">
        <f t="shared" si="4"/>
        <v>1</v>
      </c>
      <c r="D273" t="s">
        <v>1</v>
      </c>
      <c r="E273" t="s">
        <v>688</v>
      </c>
      <c r="F273" t="s">
        <v>2</v>
      </c>
      <c r="G273" t="s">
        <v>1</v>
      </c>
      <c r="H273" t="s">
        <v>16</v>
      </c>
    </row>
    <row r="274" spans="1:8" x14ac:dyDescent="0.2">
      <c r="A274" t="s">
        <v>701</v>
      </c>
      <c r="B274">
        <v>0</v>
      </c>
      <c r="C274">
        <f t="shared" si="4"/>
        <v>1</v>
      </c>
      <c r="D274" t="s">
        <v>15</v>
      </c>
      <c r="E274" t="s">
        <v>688</v>
      </c>
      <c r="F274" t="s">
        <v>2</v>
      </c>
      <c r="G274" t="s">
        <v>1</v>
      </c>
      <c r="H274" t="s">
        <v>16</v>
      </c>
    </row>
    <row r="275" spans="1:8" x14ac:dyDescent="0.2">
      <c r="A275" t="s">
        <v>701</v>
      </c>
      <c r="B275">
        <v>0</v>
      </c>
      <c r="C275">
        <f t="shared" si="4"/>
        <v>1</v>
      </c>
      <c r="D275" t="s">
        <v>16</v>
      </c>
      <c r="E275" t="s">
        <v>688</v>
      </c>
      <c r="F275" t="s">
        <v>2</v>
      </c>
      <c r="G275" t="s">
        <v>1</v>
      </c>
      <c r="H275" t="s">
        <v>16</v>
      </c>
    </row>
    <row r="276" spans="1:8" x14ac:dyDescent="0.2">
      <c r="A276" t="s">
        <v>701</v>
      </c>
      <c r="B276">
        <v>0</v>
      </c>
      <c r="C276">
        <f t="shared" si="4"/>
        <v>1</v>
      </c>
      <c r="D276" t="s">
        <v>18</v>
      </c>
      <c r="E276" t="s">
        <v>688</v>
      </c>
      <c r="F276" t="s">
        <v>2</v>
      </c>
      <c r="G276" t="s">
        <v>1</v>
      </c>
      <c r="H276" t="s">
        <v>16</v>
      </c>
    </row>
    <row r="277" spans="1:8" x14ac:dyDescent="0.2">
      <c r="A277" t="s">
        <v>701</v>
      </c>
      <c r="B277">
        <v>0</v>
      </c>
      <c r="C277">
        <f t="shared" si="4"/>
        <v>1</v>
      </c>
      <c r="D277" t="s">
        <v>19</v>
      </c>
      <c r="E277" t="s">
        <v>688</v>
      </c>
      <c r="F277" t="s">
        <v>2</v>
      </c>
      <c r="G277" t="s">
        <v>1</v>
      </c>
      <c r="H277" t="s">
        <v>16</v>
      </c>
    </row>
    <row r="278" spans="1:8" x14ac:dyDescent="0.2">
      <c r="A278" t="s">
        <v>701</v>
      </c>
      <c r="B278">
        <v>0</v>
      </c>
      <c r="C278">
        <f t="shared" si="4"/>
        <v>1</v>
      </c>
      <c r="D278" t="s">
        <v>20</v>
      </c>
      <c r="E278" t="s">
        <v>688</v>
      </c>
      <c r="F278" t="s">
        <v>2</v>
      </c>
      <c r="G278" t="s">
        <v>1</v>
      </c>
      <c r="H278" t="s">
        <v>16</v>
      </c>
    </row>
    <row r="279" spans="1:8" x14ac:dyDescent="0.2">
      <c r="A279" t="s">
        <v>702</v>
      </c>
      <c r="B279">
        <v>0</v>
      </c>
      <c r="C279">
        <f t="shared" si="4"/>
        <v>1</v>
      </c>
      <c r="D279" t="s">
        <v>0</v>
      </c>
      <c r="E279" t="s">
        <v>688</v>
      </c>
      <c r="F279" t="s">
        <v>1</v>
      </c>
      <c r="G279" t="s">
        <v>1</v>
      </c>
      <c r="H279" t="s">
        <v>16</v>
      </c>
    </row>
    <row r="280" spans="1:8" x14ac:dyDescent="0.2">
      <c r="A280" t="s">
        <v>702</v>
      </c>
      <c r="B280">
        <v>0</v>
      </c>
      <c r="C280">
        <f t="shared" si="4"/>
        <v>1</v>
      </c>
      <c r="D280" t="s">
        <v>9</v>
      </c>
      <c r="E280" t="s">
        <v>688</v>
      </c>
      <c r="F280" t="s">
        <v>1</v>
      </c>
      <c r="G280" t="s">
        <v>1</v>
      </c>
      <c r="H280" t="s">
        <v>16</v>
      </c>
    </row>
    <row r="281" spans="1:8" x14ac:dyDescent="0.2">
      <c r="A281" t="s">
        <v>702</v>
      </c>
      <c r="B281">
        <v>0</v>
      </c>
      <c r="C281">
        <f t="shared" si="4"/>
        <v>1</v>
      </c>
      <c r="D281" t="s">
        <v>26</v>
      </c>
      <c r="E281" t="s">
        <v>688</v>
      </c>
      <c r="F281" t="s">
        <v>1</v>
      </c>
      <c r="G281" t="s">
        <v>1</v>
      </c>
      <c r="H281" t="s">
        <v>16</v>
      </c>
    </row>
    <row r="282" spans="1:8" x14ac:dyDescent="0.2">
      <c r="A282" t="s">
        <v>702</v>
      </c>
      <c r="B282">
        <v>0</v>
      </c>
      <c r="C282">
        <f t="shared" si="4"/>
        <v>1</v>
      </c>
      <c r="D282" t="s">
        <v>24</v>
      </c>
      <c r="E282" t="s">
        <v>688</v>
      </c>
      <c r="F282" t="s">
        <v>1</v>
      </c>
      <c r="G282" t="s">
        <v>1</v>
      </c>
      <c r="H282" t="s">
        <v>16</v>
      </c>
    </row>
    <row r="283" spans="1:8" x14ac:dyDescent="0.2">
      <c r="A283" t="s">
        <v>702</v>
      </c>
      <c r="B283">
        <v>0</v>
      </c>
      <c r="C283">
        <f t="shared" si="4"/>
        <v>1</v>
      </c>
      <c r="D283" t="s">
        <v>10</v>
      </c>
      <c r="E283" t="s">
        <v>688</v>
      </c>
      <c r="F283" t="s">
        <v>1</v>
      </c>
      <c r="G283" t="s">
        <v>1</v>
      </c>
      <c r="H283" t="s">
        <v>16</v>
      </c>
    </row>
    <row r="284" spans="1:8" x14ac:dyDescent="0.2">
      <c r="A284" t="s">
        <v>702</v>
      </c>
      <c r="B284">
        <v>0</v>
      </c>
      <c r="C284">
        <f t="shared" si="4"/>
        <v>1</v>
      </c>
      <c r="D284" t="s">
        <v>12</v>
      </c>
      <c r="E284" t="s">
        <v>688</v>
      </c>
      <c r="F284" t="s">
        <v>1</v>
      </c>
      <c r="G284" t="s">
        <v>1</v>
      </c>
      <c r="H284" t="s">
        <v>16</v>
      </c>
    </row>
    <row r="285" spans="1:8" x14ac:dyDescent="0.2">
      <c r="A285" t="s">
        <v>702</v>
      </c>
      <c r="B285">
        <v>0</v>
      </c>
      <c r="C285">
        <f t="shared" si="4"/>
        <v>1</v>
      </c>
      <c r="D285" t="s">
        <v>5</v>
      </c>
      <c r="E285" t="s">
        <v>688</v>
      </c>
      <c r="F285" t="s">
        <v>1</v>
      </c>
      <c r="G285" t="s">
        <v>1</v>
      </c>
      <c r="H285" t="s">
        <v>16</v>
      </c>
    </row>
    <row r="286" spans="1:8" x14ac:dyDescent="0.2">
      <c r="A286" t="s">
        <v>702</v>
      </c>
      <c r="B286">
        <v>0</v>
      </c>
      <c r="C286">
        <f t="shared" si="4"/>
        <v>1</v>
      </c>
      <c r="D286" t="s">
        <v>22</v>
      </c>
      <c r="E286" t="s">
        <v>688</v>
      </c>
      <c r="F286" t="s">
        <v>1</v>
      </c>
      <c r="G286" t="s">
        <v>1</v>
      </c>
      <c r="H286" t="s">
        <v>16</v>
      </c>
    </row>
    <row r="287" spans="1:8" x14ac:dyDescent="0.2">
      <c r="A287" t="s">
        <v>702</v>
      </c>
      <c r="B287">
        <v>0</v>
      </c>
      <c r="C287">
        <f t="shared" si="4"/>
        <v>1</v>
      </c>
      <c r="D287" t="s">
        <v>13</v>
      </c>
      <c r="E287" t="s">
        <v>688</v>
      </c>
      <c r="F287" t="s">
        <v>1</v>
      </c>
      <c r="G287" t="s">
        <v>1</v>
      </c>
      <c r="H287" t="s">
        <v>16</v>
      </c>
    </row>
    <row r="288" spans="1:8" x14ac:dyDescent="0.2">
      <c r="A288" t="s">
        <v>702</v>
      </c>
      <c r="B288">
        <v>0</v>
      </c>
      <c r="C288">
        <f t="shared" si="4"/>
        <v>1</v>
      </c>
      <c r="D288" t="s">
        <v>2</v>
      </c>
      <c r="E288" t="s">
        <v>688</v>
      </c>
      <c r="F288" t="s">
        <v>1</v>
      </c>
      <c r="G288" t="s">
        <v>1</v>
      </c>
      <c r="H288" t="s">
        <v>16</v>
      </c>
    </row>
    <row r="289" spans="1:8" x14ac:dyDescent="0.2">
      <c r="A289" t="s">
        <v>702</v>
      </c>
      <c r="B289">
        <v>0</v>
      </c>
      <c r="C289">
        <f t="shared" si="4"/>
        <v>1</v>
      </c>
      <c r="D289" t="s">
        <v>14</v>
      </c>
      <c r="E289" t="s">
        <v>688</v>
      </c>
      <c r="F289" t="s">
        <v>1</v>
      </c>
      <c r="G289" t="s">
        <v>1</v>
      </c>
      <c r="H289" t="s">
        <v>16</v>
      </c>
    </row>
    <row r="290" spans="1:8" x14ac:dyDescent="0.2">
      <c r="A290" t="s">
        <v>702</v>
      </c>
      <c r="B290">
        <v>0</v>
      </c>
      <c r="C290">
        <f t="shared" si="4"/>
        <v>1</v>
      </c>
      <c r="D290" t="s">
        <v>1</v>
      </c>
      <c r="E290" t="s">
        <v>688</v>
      </c>
      <c r="F290" t="s">
        <v>1</v>
      </c>
      <c r="G290" t="s">
        <v>1</v>
      </c>
      <c r="H290" t="s">
        <v>16</v>
      </c>
    </row>
    <row r="291" spans="1:8" x14ac:dyDescent="0.2">
      <c r="A291" t="s">
        <v>702</v>
      </c>
      <c r="B291">
        <v>0</v>
      </c>
      <c r="C291">
        <f t="shared" si="4"/>
        <v>1</v>
      </c>
      <c r="D291" t="s">
        <v>17</v>
      </c>
      <c r="E291" t="s">
        <v>688</v>
      </c>
      <c r="F291" t="s">
        <v>1</v>
      </c>
      <c r="G291" t="s">
        <v>1</v>
      </c>
      <c r="H291" t="s">
        <v>16</v>
      </c>
    </row>
    <row r="292" spans="1:8" x14ac:dyDescent="0.2">
      <c r="A292" t="s">
        <v>702</v>
      </c>
      <c r="B292">
        <v>0</v>
      </c>
      <c r="C292">
        <f t="shared" si="4"/>
        <v>1</v>
      </c>
      <c r="D292" t="s">
        <v>18</v>
      </c>
      <c r="E292" t="s">
        <v>688</v>
      </c>
      <c r="F292" t="s">
        <v>1</v>
      </c>
      <c r="G292" t="s">
        <v>1</v>
      </c>
      <c r="H292" t="s">
        <v>16</v>
      </c>
    </row>
    <row r="293" spans="1:8" x14ac:dyDescent="0.2">
      <c r="A293" t="s">
        <v>703</v>
      </c>
      <c r="B293">
        <v>0</v>
      </c>
      <c r="C293">
        <f t="shared" si="4"/>
        <v>1</v>
      </c>
      <c r="D293" t="s">
        <v>0</v>
      </c>
      <c r="E293" t="s">
        <v>688</v>
      </c>
      <c r="F293" t="s">
        <v>15</v>
      </c>
      <c r="G293" t="s">
        <v>1</v>
      </c>
      <c r="H293" t="s">
        <v>16</v>
      </c>
    </row>
    <row r="294" spans="1:8" x14ac:dyDescent="0.2">
      <c r="A294" t="s">
        <v>703</v>
      </c>
      <c r="B294">
        <v>0</v>
      </c>
      <c r="C294">
        <f t="shared" si="4"/>
        <v>1</v>
      </c>
      <c r="D294" t="s">
        <v>9</v>
      </c>
      <c r="E294" t="s">
        <v>688</v>
      </c>
      <c r="F294" t="s">
        <v>15</v>
      </c>
      <c r="G294" t="s">
        <v>1</v>
      </c>
      <c r="H294" t="s">
        <v>16</v>
      </c>
    </row>
    <row r="295" spans="1:8" x14ac:dyDescent="0.2">
      <c r="A295" t="s">
        <v>703</v>
      </c>
      <c r="B295">
        <v>0</v>
      </c>
      <c r="C295">
        <f t="shared" si="4"/>
        <v>1</v>
      </c>
      <c r="D295" t="s">
        <v>24</v>
      </c>
      <c r="E295" t="s">
        <v>688</v>
      </c>
      <c r="F295" t="s">
        <v>15</v>
      </c>
      <c r="G295" t="s">
        <v>1</v>
      </c>
      <c r="H295" t="s">
        <v>16</v>
      </c>
    </row>
    <row r="296" spans="1:8" x14ac:dyDescent="0.2">
      <c r="A296" t="s">
        <v>703</v>
      </c>
      <c r="B296">
        <v>0</v>
      </c>
      <c r="C296">
        <f t="shared" si="4"/>
        <v>1</v>
      </c>
      <c r="D296" t="s">
        <v>11</v>
      </c>
      <c r="E296" t="s">
        <v>688</v>
      </c>
      <c r="F296" t="s">
        <v>15</v>
      </c>
      <c r="G296" t="s">
        <v>1</v>
      </c>
      <c r="H296" t="s">
        <v>16</v>
      </c>
    </row>
    <row r="297" spans="1:8" x14ac:dyDescent="0.2">
      <c r="A297" t="s">
        <v>703</v>
      </c>
      <c r="B297">
        <v>0</v>
      </c>
      <c r="C297">
        <f t="shared" si="4"/>
        <v>1</v>
      </c>
      <c r="D297" t="s">
        <v>12</v>
      </c>
      <c r="E297" t="s">
        <v>688</v>
      </c>
      <c r="F297" t="s">
        <v>15</v>
      </c>
      <c r="G297" t="s">
        <v>1</v>
      </c>
      <c r="H297" t="s">
        <v>16</v>
      </c>
    </row>
    <row r="298" spans="1:8" x14ac:dyDescent="0.2">
      <c r="A298" t="s">
        <v>703</v>
      </c>
      <c r="B298">
        <v>0</v>
      </c>
      <c r="C298">
        <f t="shared" si="4"/>
        <v>1</v>
      </c>
      <c r="D298" t="s">
        <v>5</v>
      </c>
      <c r="E298" t="s">
        <v>688</v>
      </c>
      <c r="F298" t="s">
        <v>15</v>
      </c>
      <c r="G298" t="s">
        <v>1</v>
      </c>
      <c r="H298" t="s">
        <v>16</v>
      </c>
    </row>
    <row r="299" spans="1:8" x14ac:dyDescent="0.2">
      <c r="A299" t="s">
        <v>703</v>
      </c>
      <c r="B299">
        <v>0</v>
      </c>
      <c r="C299">
        <f t="shared" si="4"/>
        <v>1</v>
      </c>
      <c r="D299" t="s">
        <v>22</v>
      </c>
      <c r="E299" t="s">
        <v>688</v>
      </c>
      <c r="F299" t="s">
        <v>15</v>
      </c>
      <c r="G299" t="s">
        <v>1</v>
      </c>
      <c r="H299" t="s">
        <v>16</v>
      </c>
    </row>
    <row r="300" spans="1:8" x14ac:dyDescent="0.2">
      <c r="A300" t="s">
        <v>703</v>
      </c>
      <c r="B300">
        <v>0</v>
      </c>
      <c r="C300">
        <f t="shared" si="4"/>
        <v>1</v>
      </c>
      <c r="D300" t="s">
        <v>14</v>
      </c>
      <c r="E300" t="s">
        <v>688</v>
      </c>
      <c r="F300" t="s">
        <v>15</v>
      </c>
      <c r="G300" t="s">
        <v>1</v>
      </c>
      <c r="H300" t="s">
        <v>16</v>
      </c>
    </row>
    <row r="301" spans="1:8" x14ac:dyDescent="0.2">
      <c r="A301" t="s">
        <v>703</v>
      </c>
      <c r="B301">
        <v>0</v>
      </c>
      <c r="C301">
        <f t="shared" si="4"/>
        <v>1</v>
      </c>
      <c r="D301" t="s">
        <v>16</v>
      </c>
      <c r="E301" t="s">
        <v>688</v>
      </c>
      <c r="F301" t="s">
        <v>15</v>
      </c>
      <c r="G301" t="s">
        <v>1</v>
      </c>
      <c r="H301" t="s">
        <v>16</v>
      </c>
    </row>
    <row r="302" spans="1:8" x14ac:dyDescent="0.2">
      <c r="A302" t="s">
        <v>703</v>
      </c>
      <c r="B302">
        <v>0</v>
      </c>
      <c r="C302">
        <f t="shared" si="4"/>
        <v>1</v>
      </c>
      <c r="D302" t="s">
        <v>17</v>
      </c>
      <c r="E302" t="s">
        <v>688</v>
      </c>
      <c r="F302" t="s">
        <v>15</v>
      </c>
      <c r="G302" t="s">
        <v>1</v>
      </c>
      <c r="H302" t="s">
        <v>16</v>
      </c>
    </row>
    <row r="303" spans="1:8" x14ac:dyDescent="0.2">
      <c r="A303" t="s">
        <v>703</v>
      </c>
      <c r="B303">
        <v>0</v>
      </c>
      <c r="C303">
        <f t="shared" si="4"/>
        <v>1</v>
      </c>
      <c r="D303" t="s">
        <v>18</v>
      </c>
      <c r="E303" t="s">
        <v>688</v>
      </c>
      <c r="F303" t="s">
        <v>15</v>
      </c>
      <c r="G303" t="s">
        <v>1</v>
      </c>
      <c r="H303" t="s">
        <v>16</v>
      </c>
    </row>
    <row r="304" spans="1:8" x14ac:dyDescent="0.2">
      <c r="A304" t="s">
        <v>704</v>
      </c>
      <c r="B304">
        <v>0</v>
      </c>
      <c r="C304">
        <f t="shared" si="4"/>
        <v>1</v>
      </c>
      <c r="D304" t="s">
        <v>0</v>
      </c>
      <c r="E304" t="s">
        <v>688</v>
      </c>
      <c r="F304" t="s">
        <v>16</v>
      </c>
      <c r="G304" t="s">
        <v>1</v>
      </c>
      <c r="H304" t="s">
        <v>16</v>
      </c>
    </row>
    <row r="305" spans="1:8" x14ac:dyDescent="0.2">
      <c r="A305" t="s">
        <v>704</v>
      </c>
      <c r="B305">
        <v>0</v>
      </c>
      <c r="C305">
        <f t="shared" si="4"/>
        <v>1</v>
      </c>
      <c r="D305" t="s">
        <v>8</v>
      </c>
      <c r="E305" t="s">
        <v>688</v>
      </c>
      <c r="F305" t="s">
        <v>16</v>
      </c>
      <c r="G305" t="s">
        <v>1</v>
      </c>
      <c r="H305" t="s">
        <v>16</v>
      </c>
    </row>
    <row r="306" spans="1:8" x14ac:dyDescent="0.2">
      <c r="A306" t="s">
        <v>704</v>
      </c>
      <c r="B306">
        <v>0</v>
      </c>
      <c r="C306">
        <f t="shared" si="4"/>
        <v>1</v>
      </c>
      <c r="D306" t="s">
        <v>24</v>
      </c>
      <c r="E306" t="s">
        <v>688</v>
      </c>
      <c r="F306" t="s">
        <v>16</v>
      </c>
      <c r="G306" t="s">
        <v>1</v>
      </c>
      <c r="H306" t="s">
        <v>16</v>
      </c>
    </row>
    <row r="307" spans="1:8" x14ac:dyDescent="0.2">
      <c r="A307" t="s">
        <v>704</v>
      </c>
      <c r="B307">
        <v>0</v>
      </c>
      <c r="C307">
        <f t="shared" si="4"/>
        <v>1</v>
      </c>
      <c r="D307" t="s">
        <v>10</v>
      </c>
      <c r="E307" t="s">
        <v>688</v>
      </c>
      <c r="F307" t="s">
        <v>16</v>
      </c>
      <c r="G307" t="s">
        <v>1</v>
      </c>
      <c r="H307" t="s">
        <v>16</v>
      </c>
    </row>
    <row r="308" spans="1:8" x14ac:dyDescent="0.2">
      <c r="A308" t="s">
        <v>704</v>
      </c>
      <c r="B308">
        <v>0</v>
      </c>
      <c r="C308">
        <f t="shared" si="4"/>
        <v>1</v>
      </c>
      <c r="D308" t="s">
        <v>12</v>
      </c>
      <c r="E308" t="s">
        <v>688</v>
      </c>
      <c r="F308" t="s">
        <v>16</v>
      </c>
      <c r="G308" t="s">
        <v>1</v>
      </c>
      <c r="H308" t="s">
        <v>16</v>
      </c>
    </row>
    <row r="309" spans="1:8" x14ac:dyDescent="0.2">
      <c r="A309" t="s">
        <v>704</v>
      </c>
      <c r="B309">
        <v>0</v>
      </c>
      <c r="C309">
        <f t="shared" si="4"/>
        <v>1</v>
      </c>
      <c r="D309" t="s">
        <v>5</v>
      </c>
      <c r="E309" t="s">
        <v>688</v>
      </c>
      <c r="F309" t="s">
        <v>16</v>
      </c>
      <c r="G309" t="s">
        <v>1</v>
      </c>
      <c r="H309" t="s">
        <v>16</v>
      </c>
    </row>
    <row r="310" spans="1:8" x14ac:dyDescent="0.2">
      <c r="A310" t="s">
        <v>704</v>
      </c>
      <c r="B310">
        <v>0</v>
      </c>
      <c r="C310">
        <f t="shared" si="4"/>
        <v>1</v>
      </c>
      <c r="D310" t="s">
        <v>22</v>
      </c>
      <c r="E310" t="s">
        <v>688</v>
      </c>
      <c r="F310" t="s">
        <v>16</v>
      </c>
      <c r="G310" t="s">
        <v>1</v>
      </c>
      <c r="H310" t="s">
        <v>16</v>
      </c>
    </row>
    <row r="311" spans="1:8" x14ac:dyDescent="0.2">
      <c r="A311" t="s">
        <v>704</v>
      </c>
      <c r="B311">
        <v>0</v>
      </c>
      <c r="C311">
        <f t="shared" si="4"/>
        <v>1</v>
      </c>
      <c r="D311" t="s">
        <v>13</v>
      </c>
      <c r="E311" t="s">
        <v>688</v>
      </c>
      <c r="F311" t="s">
        <v>16</v>
      </c>
      <c r="G311" t="s">
        <v>1</v>
      </c>
      <c r="H311" t="s">
        <v>16</v>
      </c>
    </row>
    <row r="312" spans="1:8" x14ac:dyDescent="0.2">
      <c r="A312" t="s">
        <v>704</v>
      </c>
      <c r="B312">
        <v>0</v>
      </c>
      <c r="C312">
        <f t="shared" si="4"/>
        <v>1</v>
      </c>
      <c r="D312" t="s">
        <v>2</v>
      </c>
      <c r="E312" t="s">
        <v>688</v>
      </c>
      <c r="F312" t="s">
        <v>16</v>
      </c>
      <c r="G312" t="s">
        <v>1</v>
      </c>
      <c r="H312" t="s">
        <v>16</v>
      </c>
    </row>
    <row r="313" spans="1:8" x14ac:dyDescent="0.2">
      <c r="A313" t="s">
        <v>704</v>
      </c>
      <c r="B313">
        <v>0</v>
      </c>
      <c r="C313">
        <f t="shared" si="4"/>
        <v>1</v>
      </c>
      <c r="D313" t="s">
        <v>14</v>
      </c>
      <c r="E313" t="s">
        <v>688</v>
      </c>
      <c r="F313" t="s">
        <v>16</v>
      </c>
      <c r="G313" t="s">
        <v>1</v>
      </c>
      <c r="H313" t="s">
        <v>16</v>
      </c>
    </row>
    <row r="314" spans="1:8" x14ac:dyDescent="0.2">
      <c r="A314" t="s">
        <v>704</v>
      </c>
      <c r="B314">
        <v>0</v>
      </c>
      <c r="C314">
        <f t="shared" si="4"/>
        <v>1</v>
      </c>
      <c r="D314" t="s">
        <v>1</v>
      </c>
      <c r="E314" t="s">
        <v>688</v>
      </c>
      <c r="F314" t="s">
        <v>16</v>
      </c>
      <c r="G314" t="s">
        <v>1</v>
      </c>
      <c r="H314" t="s">
        <v>16</v>
      </c>
    </row>
    <row r="315" spans="1:8" x14ac:dyDescent="0.2">
      <c r="A315" t="s">
        <v>704</v>
      </c>
      <c r="B315">
        <v>0</v>
      </c>
      <c r="C315">
        <f t="shared" si="4"/>
        <v>1</v>
      </c>
      <c r="D315" t="s">
        <v>15</v>
      </c>
      <c r="E315" t="s">
        <v>688</v>
      </c>
      <c r="F315" t="s">
        <v>16</v>
      </c>
      <c r="G315" t="s">
        <v>1</v>
      </c>
      <c r="H315" t="s">
        <v>16</v>
      </c>
    </row>
    <row r="316" spans="1:8" x14ac:dyDescent="0.2">
      <c r="A316" t="s">
        <v>704</v>
      </c>
      <c r="B316">
        <v>0</v>
      </c>
      <c r="C316">
        <f t="shared" si="4"/>
        <v>1</v>
      </c>
      <c r="D316" t="s">
        <v>16</v>
      </c>
      <c r="E316" t="s">
        <v>688</v>
      </c>
      <c r="F316" t="s">
        <v>16</v>
      </c>
      <c r="G316" t="s">
        <v>1</v>
      </c>
      <c r="H316" t="s">
        <v>16</v>
      </c>
    </row>
    <row r="317" spans="1:8" x14ac:dyDescent="0.2">
      <c r="A317" t="s">
        <v>704</v>
      </c>
      <c r="B317">
        <v>0</v>
      </c>
      <c r="C317">
        <f t="shared" si="4"/>
        <v>1</v>
      </c>
      <c r="D317" t="s">
        <v>17</v>
      </c>
      <c r="E317" t="s">
        <v>688</v>
      </c>
      <c r="F317" t="s">
        <v>16</v>
      </c>
      <c r="G317" t="s">
        <v>1</v>
      </c>
      <c r="H317" t="s">
        <v>16</v>
      </c>
    </row>
    <row r="318" spans="1:8" x14ac:dyDescent="0.2">
      <c r="A318" t="s">
        <v>704</v>
      </c>
      <c r="B318">
        <v>0</v>
      </c>
      <c r="C318">
        <f t="shared" si="4"/>
        <v>1</v>
      </c>
      <c r="D318" t="s">
        <v>18</v>
      </c>
      <c r="E318" t="s">
        <v>688</v>
      </c>
      <c r="F318" t="s">
        <v>16</v>
      </c>
      <c r="G318" t="s">
        <v>1</v>
      </c>
      <c r="H318" t="s">
        <v>16</v>
      </c>
    </row>
    <row r="319" spans="1:8" x14ac:dyDescent="0.2">
      <c r="A319" t="s">
        <v>714</v>
      </c>
      <c r="B319">
        <v>0</v>
      </c>
      <c r="C319">
        <f t="shared" si="4"/>
        <v>1</v>
      </c>
      <c r="D319" t="s">
        <v>9</v>
      </c>
      <c r="E319" t="s">
        <v>688</v>
      </c>
      <c r="F319" t="s">
        <v>25</v>
      </c>
      <c r="G319" t="s">
        <v>1</v>
      </c>
      <c r="H319" t="s">
        <v>16</v>
      </c>
    </row>
    <row r="320" spans="1:8" x14ac:dyDescent="0.2">
      <c r="A320" t="s">
        <v>714</v>
      </c>
      <c r="B320">
        <v>0</v>
      </c>
      <c r="C320">
        <f t="shared" si="4"/>
        <v>1</v>
      </c>
      <c r="D320" t="s">
        <v>24</v>
      </c>
      <c r="E320" t="s">
        <v>688</v>
      </c>
      <c r="F320" t="s">
        <v>25</v>
      </c>
      <c r="G320" t="s">
        <v>1</v>
      </c>
      <c r="H320" t="s">
        <v>16</v>
      </c>
    </row>
    <row r="321" spans="1:9" x14ac:dyDescent="0.2">
      <c r="A321" t="s">
        <v>714</v>
      </c>
      <c r="B321">
        <v>0</v>
      </c>
      <c r="C321">
        <f t="shared" si="4"/>
        <v>1</v>
      </c>
      <c r="D321" t="s">
        <v>22</v>
      </c>
      <c r="E321" t="s">
        <v>688</v>
      </c>
      <c r="F321" t="s">
        <v>25</v>
      </c>
      <c r="G321" t="s">
        <v>1</v>
      </c>
      <c r="H321" t="s">
        <v>16</v>
      </c>
    </row>
    <row r="322" spans="1:9" x14ac:dyDescent="0.2">
      <c r="A322" t="s">
        <v>714</v>
      </c>
      <c r="B322">
        <v>0</v>
      </c>
      <c r="C322">
        <f t="shared" ref="C322:C325" si="5">EXP(-B322)</f>
        <v>1</v>
      </c>
      <c r="D322" t="s">
        <v>2</v>
      </c>
      <c r="E322" t="s">
        <v>688</v>
      </c>
      <c r="F322" t="s">
        <v>25</v>
      </c>
      <c r="G322" t="s">
        <v>1</v>
      </c>
      <c r="H322" t="s">
        <v>16</v>
      </c>
    </row>
    <row r="323" spans="1:9" x14ac:dyDescent="0.2">
      <c r="A323" t="s">
        <v>714</v>
      </c>
      <c r="B323">
        <v>0</v>
      </c>
      <c r="C323">
        <f t="shared" si="5"/>
        <v>1</v>
      </c>
      <c r="D323" t="s">
        <v>14</v>
      </c>
      <c r="E323" t="s">
        <v>688</v>
      </c>
      <c r="F323" t="s">
        <v>25</v>
      </c>
      <c r="G323" t="s">
        <v>1</v>
      </c>
      <c r="H323" t="s">
        <v>16</v>
      </c>
    </row>
    <row r="324" spans="1:9" x14ac:dyDescent="0.2">
      <c r="A324" t="s">
        <v>714</v>
      </c>
      <c r="B324">
        <v>0</v>
      </c>
      <c r="C324">
        <f t="shared" si="5"/>
        <v>1</v>
      </c>
      <c r="D324" t="s">
        <v>1</v>
      </c>
      <c r="E324" t="s">
        <v>688</v>
      </c>
      <c r="F324" t="s">
        <v>25</v>
      </c>
      <c r="G324" t="s">
        <v>1</v>
      </c>
      <c r="H324" t="s">
        <v>16</v>
      </c>
    </row>
    <row r="325" spans="1:9" x14ac:dyDescent="0.2">
      <c r="A325" t="s">
        <v>714</v>
      </c>
      <c r="B325">
        <v>0</v>
      </c>
      <c r="C325">
        <f t="shared" si="5"/>
        <v>1</v>
      </c>
      <c r="D325" t="s">
        <v>18</v>
      </c>
      <c r="E325" t="s">
        <v>688</v>
      </c>
      <c r="F325" t="s">
        <v>25</v>
      </c>
      <c r="G325" t="s">
        <v>1</v>
      </c>
      <c r="H325" t="s">
        <v>16</v>
      </c>
      <c r="I325">
        <f>AVERAGE(C221:C325)</f>
        <v>1</v>
      </c>
    </row>
  </sheetData>
  <sortState xmlns:xlrd2="http://schemas.microsoft.com/office/spreadsheetml/2017/richdata2" ref="A1:H326">
    <sortCondition ref="G1:G326"/>
    <sortCondition ref="H1:H32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7D62-017E-D64D-867C-ECB8123E5163}">
  <dimension ref="A1:N253"/>
  <sheetViews>
    <sheetView zoomScale="141" zoomScaleNormal="100" workbookViewId="0">
      <selection activeCell="L8" sqref="L8"/>
    </sheetView>
  </sheetViews>
  <sheetFormatPr baseColWidth="10" defaultRowHeight="16" x14ac:dyDescent="0.2"/>
  <cols>
    <col min="1" max="1" width="7.33203125" customWidth="1"/>
    <col min="2" max="5" width="5.6640625" customWidth="1"/>
    <col min="6" max="6" width="5.6640625" style="8" customWidth="1"/>
    <col min="7" max="7" width="8.5" customWidth="1"/>
    <col min="8" max="9" width="6" hidden="1" customWidth="1"/>
    <col min="10" max="12" width="6" customWidth="1"/>
    <col min="13" max="13" width="7" customWidth="1"/>
    <col min="14" max="14" width="10.83203125" customWidth="1"/>
  </cols>
  <sheetData>
    <row r="1" spans="1:14" x14ac:dyDescent="0.2">
      <c r="D1" s="1"/>
      <c r="E1" s="2"/>
      <c r="F1" s="3"/>
      <c r="G1" s="2" t="s">
        <v>378</v>
      </c>
      <c r="H1" s="2">
        <v>0.16400000000000001</v>
      </c>
      <c r="I1" s="2">
        <f t="shared" ref="I1:I28" si="0">EXP(-H1)</f>
        <v>0.84874202188020675</v>
      </c>
      <c r="J1" s="2" t="s">
        <v>0</v>
      </c>
      <c r="K1" s="2" t="s">
        <v>689</v>
      </c>
      <c r="L1" s="3" t="s">
        <v>2</v>
      </c>
      <c r="M1">
        <v>3</v>
      </c>
      <c r="N1" t="s">
        <v>28</v>
      </c>
    </row>
    <row r="2" spans="1:14" x14ac:dyDescent="0.2">
      <c r="A2" t="s">
        <v>363</v>
      </c>
      <c r="B2">
        <v>0.32800000000000001</v>
      </c>
      <c r="C2">
        <f>EXP(-B2)</f>
        <v>0.72036301970530137</v>
      </c>
      <c r="D2" s="4" t="s">
        <v>0</v>
      </c>
      <c r="E2" s="5" t="s">
        <v>688</v>
      </c>
      <c r="F2" s="6" t="s">
        <v>0</v>
      </c>
      <c r="G2" s="5" t="s">
        <v>369</v>
      </c>
      <c r="H2" s="5">
        <v>0.16400000000000001</v>
      </c>
      <c r="I2" s="5">
        <f t="shared" si="0"/>
        <v>0.84874202188020675</v>
      </c>
      <c r="J2" s="5" t="s">
        <v>0</v>
      </c>
      <c r="K2" s="5" t="s">
        <v>688</v>
      </c>
      <c r="L2" s="6" t="s">
        <v>2</v>
      </c>
    </row>
    <row r="3" spans="1:14" x14ac:dyDescent="0.2">
      <c r="D3" s="1"/>
      <c r="E3" s="2"/>
      <c r="F3" s="3"/>
      <c r="G3" s="2" t="s">
        <v>389</v>
      </c>
      <c r="H3" s="2">
        <v>0</v>
      </c>
      <c r="I3" s="2">
        <f t="shared" si="0"/>
        <v>1</v>
      </c>
      <c r="J3" s="2" t="s">
        <v>8</v>
      </c>
      <c r="K3" s="2" t="s">
        <v>689</v>
      </c>
      <c r="L3" s="3" t="s">
        <v>2</v>
      </c>
      <c r="M3">
        <v>2</v>
      </c>
      <c r="N3" t="s">
        <v>29</v>
      </c>
    </row>
    <row r="4" spans="1:14" x14ac:dyDescent="0.2">
      <c r="D4" s="4"/>
      <c r="E4" s="5"/>
      <c r="F4" s="6"/>
      <c r="G4" s="5" t="s">
        <v>383</v>
      </c>
      <c r="H4" s="5">
        <v>0.74199999999999999</v>
      </c>
      <c r="I4" s="5">
        <f t="shared" si="0"/>
        <v>0.47616064128198943</v>
      </c>
      <c r="J4" s="5" t="s">
        <v>8</v>
      </c>
      <c r="K4" s="5" t="s">
        <v>688</v>
      </c>
      <c r="L4" s="6" t="s">
        <v>2</v>
      </c>
    </row>
    <row r="5" spans="1:14" x14ac:dyDescent="0.2">
      <c r="A5" t="s">
        <v>402</v>
      </c>
      <c r="B5">
        <v>0.16400000000000001</v>
      </c>
      <c r="C5">
        <f>EXP(-B5)</f>
        <v>0.84874202188020675</v>
      </c>
      <c r="D5" s="1" t="s">
        <v>9</v>
      </c>
      <c r="E5" s="2" t="s">
        <v>689</v>
      </c>
      <c r="F5" s="3" t="s">
        <v>0</v>
      </c>
      <c r="G5" s="2" t="s">
        <v>407</v>
      </c>
      <c r="H5" s="2">
        <v>0</v>
      </c>
      <c r="I5" s="2">
        <f t="shared" si="0"/>
        <v>1</v>
      </c>
      <c r="J5" s="2" t="s">
        <v>9</v>
      </c>
      <c r="K5" s="2" t="s">
        <v>689</v>
      </c>
      <c r="L5" s="3" t="s">
        <v>2</v>
      </c>
      <c r="M5">
        <v>4</v>
      </c>
      <c r="N5" t="s">
        <v>37</v>
      </c>
    </row>
    <row r="6" spans="1:14" x14ac:dyDescent="0.2">
      <c r="A6" t="s">
        <v>392</v>
      </c>
      <c r="B6">
        <v>0.16400000000000001</v>
      </c>
      <c r="C6">
        <f>EXP(-B6)</f>
        <v>0.84874202188020675</v>
      </c>
      <c r="D6" s="4" t="s">
        <v>9</v>
      </c>
      <c r="E6" s="5" t="s">
        <v>688</v>
      </c>
      <c r="F6" s="6" t="s">
        <v>0</v>
      </c>
      <c r="G6" s="5" t="s">
        <v>398</v>
      </c>
      <c r="H6" s="5">
        <v>0</v>
      </c>
      <c r="I6" s="5">
        <f t="shared" si="0"/>
        <v>1</v>
      </c>
      <c r="J6" s="5" t="s">
        <v>9</v>
      </c>
      <c r="K6" s="5" t="s">
        <v>688</v>
      </c>
      <c r="L6" s="6" t="s">
        <v>2</v>
      </c>
    </row>
    <row r="7" spans="1:14" x14ac:dyDescent="0.2">
      <c r="A7" t="s">
        <v>445</v>
      </c>
      <c r="B7">
        <v>0.16400000000000001</v>
      </c>
      <c r="C7">
        <f>EXP(-B7)</f>
        <v>0.84874202188020675</v>
      </c>
      <c r="D7" s="1" t="s">
        <v>10</v>
      </c>
      <c r="E7" s="2" t="s">
        <v>689</v>
      </c>
      <c r="F7" s="3" t="s">
        <v>0</v>
      </c>
      <c r="G7" s="2" t="s">
        <v>450</v>
      </c>
      <c r="H7" s="2">
        <v>0</v>
      </c>
      <c r="I7" s="2">
        <f t="shared" si="0"/>
        <v>1</v>
      </c>
      <c r="J7" s="2" t="s">
        <v>10</v>
      </c>
      <c r="K7" s="2" t="s">
        <v>689</v>
      </c>
      <c r="L7" s="3" t="s">
        <v>2</v>
      </c>
      <c r="M7">
        <v>3</v>
      </c>
      <c r="N7" t="s">
        <v>27</v>
      </c>
    </row>
    <row r="8" spans="1:14" x14ac:dyDescent="0.2">
      <c r="D8" s="4"/>
      <c r="E8" s="5"/>
      <c r="F8" s="6"/>
      <c r="G8" s="5" t="s">
        <v>441</v>
      </c>
      <c r="H8" s="5">
        <v>0</v>
      </c>
      <c r="I8" s="5">
        <f t="shared" si="0"/>
        <v>1</v>
      </c>
      <c r="J8" s="5" t="s">
        <v>10</v>
      </c>
      <c r="K8" s="5" t="s">
        <v>688</v>
      </c>
      <c r="L8" s="6" t="s">
        <v>2</v>
      </c>
    </row>
    <row r="9" spans="1:14" x14ac:dyDescent="0.2">
      <c r="D9" s="1"/>
      <c r="E9" s="2"/>
      <c r="F9" s="3"/>
      <c r="G9" s="2" t="s">
        <v>464</v>
      </c>
      <c r="H9" s="2">
        <v>0.79100000000000004</v>
      </c>
      <c r="I9" s="2">
        <f t="shared" si="0"/>
        <v>0.4533911773338492</v>
      </c>
      <c r="J9" s="2" t="s">
        <v>11</v>
      </c>
      <c r="K9" s="2" t="s">
        <v>689</v>
      </c>
      <c r="L9" s="3" t="s">
        <v>2</v>
      </c>
      <c r="M9">
        <v>3</v>
      </c>
      <c r="N9" s="9" t="s">
        <v>28</v>
      </c>
    </row>
    <row r="10" spans="1:14" x14ac:dyDescent="0.2">
      <c r="A10" t="s">
        <v>457</v>
      </c>
      <c r="B10">
        <v>0.95499999999999996</v>
      </c>
      <c r="C10">
        <f>EXP(-B10)</f>
        <v>0.38481214455297857</v>
      </c>
      <c r="D10" s="4" t="s">
        <v>11</v>
      </c>
      <c r="E10" s="5" t="s">
        <v>688</v>
      </c>
      <c r="F10" s="6" t="s">
        <v>0</v>
      </c>
      <c r="G10" s="5" t="s">
        <v>461</v>
      </c>
      <c r="H10" s="5">
        <v>0.79100000000000004</v>
      </c>
      <c r="I10" s="5">
        <f t="shared" si="0"/>
        <v>0.4533911773338492</v>
      </c>
      <c r="J10" s="5" t="s">
        <v>11</v>
      </c>
      <c r="K10" s="5" t="s">
        <v>688</v>
      </c>
      <c r="L10" s="6" t="s">
        <v>2</v>
      </c>
    </row>
    <row r="11" spans="1:14" x14ac:dyDescent="0.2">
      <c r="D11" s="1"/>
      <c r="E11" s="2"/>
      <c r="F11" s="3"/>
      <c r="G11" s="2" t="s">
        <v>479</v>
      </c>
      <c r="H11" s="2">
        <v>0</v>
      </c>
      <c r="I11" s="2">
        <f t="shared" si="0"/>
        <v>1</v>
      </c>
      <c r="J11" s="2" t="s">
        <v>12</v>
      </c>
      <c r="K11" s="2" t="s">
        <v>689</v>
      </c>
      <c r="L11" s="3" t="s">
        <v>2</v>
      </c>
      <c r="M11">
        <v>3</v>
      </c>
      <c r="N11" s="9" t="s">
        <v>28</v>
      </c>
    </row>
    <row r="12" spans="1:14" x14ac:dyDescent="0.2">
      <c r="A12" t="s">
        <v>467</v>
      </c>
      <c r="B12">
        <v>0.16400000000000001</v>
      </c>
      <c r="C12">
        <f>EXP(-B12)</f>
        <v>0.84874202188020675</v>
      </c>
      <c r="D12" s="4" t="s">
        <v>12</v>
      </c>
      <c r="E12" s="5" t="s">
        <v>688</v>
      </c>
      <c r="F12" s="6" t="s">
        <v>0</v>
      </c>
      <c r="G12" s="5" t="s">
        <v>472</v>
      </c>
      <c r="H12" s="5">
        <v>0</v>
      </c>
      <c r="I12" s="5">
        <f t="shared" si="0"/>
        <v>1</v>
      </c>
      <c r="J12" s="5" t="s">
        <v>12</v>
      </c>
      <c r="K12" s="5" t="s">
        <v>688</v>
      </c>
      <c r="L12" s="6" t="s">
        <v>2</v>
      </c>
    </row>
    <row r="13" spans="1:14" x14ac:dyDescent="0.2">
      <c r="A13" t="s">
        <v>496</v>
      </c>
      <c r="B13">
        <v>0.16400000000000001</v>
      </c>
      <c r="C13">
        <f>EXP(-B13)</f>
        <v>0.84874202188020675</v>
      </c>
      <c r="D13" s="1" t="s">
        <v>5</v>
      </c>
      <c r="E13" s="2" t="s">
        <v>689</v>
      </c>
      <c r="F13" s="3" t="s">
        <v>0</v>
      </c>
      <c r="G13" s="2" t="s">
        <v>503</v>
      </c>
      <c r="H13" s="2">
        <v>0</v>
      </c>
      <c r="I13" s="2">
        <f t="shared" si="0"/>
        <v>1</v>
      </c>
      <c r="J13" s="2" t="s">
        <v>5</v>
      </c>
      <c r="K13" s="2" t="s">
        <v>689</v>
      </c>
      <c r="L13" s="3" t="s">
        <v>2</v>
      </c>
      <c r="M13">
        <v>4</v>
      </c>
      <c r="N13" t="s">
        <v>37</v>
      </c>
    </row>
    <row r="14" spans="1:14" x14ac:dyDescent="0.2">
      <c r="A14" t="s">
        <v>485</v>
      </c>
      <c r="B14">
        <v>0.16400000000000001</v>
      </c>
      <c r="C14">
        <f>EXP(-B14)</f>
        <v>0.84874202188020675</v>
      </c>
      <c r="D14" s="4" t="s">
        <v>5</v>
      </c>
      <c r="E14" s="5" t="s">
        <v>688</v>
      </c>
      <c r="F14" s="6" t="s">
        <v>0</v>
      </c>
      <c r="G14" s="5" t="s">
        <v>490</v>
      </c>
      <c r="H14" s="5">
        <v>0</v>
      </c>
      <c r="I14" s="5">
        <f t="shared" si="0"/>
        <v>1</v>
      </c>
      <c r="J14" s="5" t="s">
        <v>5</v>
      </c>
      <c r="K14" s="5" t="s">
        <v>688</v>
      </c>
      <c r="L14" s="6" t="s">
        <v>2</v>
      </c>
    </row>
    <row r="15" spans="1:14" x14ac:dyDescent="0.2">
      <c r="A15" t="s">
        <v>536</v>
      </c>
      <c r="B15">
        <v>0.16400000000000001</v>
      </c>
      <c r="C15">
        <f>EXP(-B15)</f>
        <v>0.84874202188020675</v>
      </c>
      <c r="D15" s="1" t="s">
        <v>13</v>
      </c>
      <c r="E15" s="2" t="s">
        <v>689</v>
      </c>
      <c r="F15" s="3" t="s">
        <v>0</v>
      </c>
      <c r="G15" s="2" t="s">
        <v>539</v>
      </c>
      <c r="H15" s="2">
        <v>0</v>
      </c>
      <c r="I15" s="2">
        <f t="shared" si="0"/>
        <v>1</v>
      </c>
      <c r="J15" s="2" t="s">
        <v>13</v>
      </c>
      <c r="K15" s="2" t="s">
        <v>689</v>
      </c>
      <c r="L15" s="3" t="s">
        <v>2</v>
      </c>
      <c r="M15">
        <v>4</v>
      </c>
      <c r="N15" t="s">
        <v>37</v>
      </c>
    </row>
    <row r="16" spans="1:14" x14ac:dyDescent="0.2">
      <c r="A16" t="s">
        <v>529</v>
      </c>
      <c r="B16">
        <v>0.16400000000000001</v>
      </c>
      <c r="C16">
        <f>EXP(-B16)</f>
        <v>0.84874202188020675</v>
      </c>
      <c r="D16" s="4" t="s">
        <v>13</v>
      </c>
      <c r="E16" s="5" t="s">
        <v>688</v>
      </c>
      <c r="F16" s="6" t="s">
        <v>0</v>
      </c>
      <c r="G16" s="5" t="s">
        <v>533</v>
      </c>
      <c r="H16" s="5">
        <v>0</v>
      </c>
      <c r="I16" s="5">
        <f t="shared" si="0"/>
        <v>1</v>
      </c>
      <c r="J16" s="5" t="s">
        <v>13</v>
      </c>
      <c r="K16" s="5" t="s">
        <v>688</v>
      </c>
      <c r="L16" s="6" t="s">
        <v>2</v>
      </c>
    </row>
    <row r="17" spans="1:14" x14ac:dyDescent="0.2">
      <c r="D17" s="1"/>
      <c r="E17" s="2"/>
      <c r="F17" s="3"/>
      <c r="G17" s="2" t="s">
        <v>555</v>
      </c>
      <c r="H17" s="2">
        <v>0</v>
      </c>
      <c r="I17" s="2">
        <f t="shared" si="0"/>
        <v>1</v>
      </c>
      <c r="J17" s="2" t="s">
        <v>2</v>
      </c>
      <c r="K17" s="2" t="s">
        <v>689</v>
      </c>
      <c r="L17" s="3" t="s">
        <v>2</v>
      </c>
      <c r="M17">
        <v>2</v>
      </c>
      <c r="N17" t="s">
        <v>29</v>
      </c>
    </row>
    <row r="18" spans="1:14" x14ac:dyDescent="0.2">
      <c r="D18" s="4"/>
      <c r="E18" s="5"/>
      <c r="F18" s="6"/>
      <c r="G18" s="5" t="s">
        <v>547</v>
      </c>
      <c r="H18" s="5">
        <v>0</v>
      </c>
      <c r="I18" s="5">
        <f t="shared" si="0"/>
        <v>1</v>
      </c>
      <c r="J18" s="5" t="s">
        <v>2</v>
      </c>
      <c r="K18" s="5" t="s">
        <v>688</v>
      </c>
      <c r="L18" s="6" t="s">
        <v>2</v>
      </c>
    </row>
    <row r="19" spans="1:14" x14ac:dyDescent="0.2">
      <c r="A19" t="s">
        <v>574</v>
      </c>
      <c r="B19">
        <v>0.16400000000000001</v>
      </c>
      <c r="C19">
        <f>EXP(-B19)</f>
        <v>0.84874202188020675</v>
      </c>
      <c r="D19" s="1" t="s">
        <v>14</v>
      </c>
      <c r="E19" s="2" t="s">
        <v>689</v>
      </c>
      <c r="F19" s="3" t="s">
        <v>0</v>
      </c>
      <c r="G19" s="2" t="s">
        <v>581</v>
      </c>
      <c r="H19" s="2">
        <v>0</v>
      </c>
      <c r="I19" s="2">
        <f t="shared" si="0"/>
        <v>1</v>
      </c>
      <c r="J19" s="2" t="s">
        <v>14</v>
      </c>
      <c r="K19" s="2" t="s">
        <v>689</v>
      </c>
      <c r="L19" s="3" t="s">
        <v>2</v>
      </c>
      <c r="M19">
        <v>4</v>
      </c>
      <c r="N19" t="s">
        <v>37</v>
      </c>
    </row>
    <row r="20" spans="1:14" x14ac:dyDescent="0.2">
      <c r="A20" t="s">
        <v>561</v>
      </c>
      <c r="B20">
        <v>0.16400000000000001</v>
      </c>
      <c r="C20">
        <f>EXP(-B20)</f>
        <v>0.84874202188020675</v>
      </c>
      <c r="D20" s="4" t="s">
        <v>14</v>
      </c>
      <c r="E20" s="5" t="s">
        <v>688</v>
      </c>
      <c r="F20" s="6" t="s">
        <v>0</v>
      </c>
      <c r="G20" s="5" t="s">
        <v>568</v>
      </c>
      <c r="H20" s="5">
        <v>0</v>
      </c>
      <c r="I20" s="5">
        <f t="shared" si="0"/>
        <v>1</v>
      </c>
      <c r="J20" s="5" t="s">
        <v>14</v>
      </c>
      <c r="K20" s="5" t="s">
        <v>688</v>
      </c>
      <c r="L20" s="6" t="s">
        <v>2</v>
      </c>
    </row>
    <row r="21" spans="1:14" x14ac:dyDescent="0.2">
      <c r="A21" t="s">
        <v>595</v>
      </c>
      <c r="B21">
        <v>0.16400000000000001</v>
      </c>
      <c r="C21">
        <f>EXP(-B21)</f>
        <v>0.84874202188020675</v>
      </c>
      <c r="D21" s="1" t="s">
        <v>1</v>
      </c>
      <c r="E21" s="2" t="s">
        <v>689</v>
      </c>
      <c r="F21" s="3" t="s">
        <v>0</v>
      </c>
      <c r="G21" s="2" t="s">
        <v>602</v>
      </c>
      <c r="H21" s="2">
        <v>0</v>
      </c>
      <c r="I21" s="2">
        <f t="shared" si="0"/>
        <v>1</v>
      </c>
      <c r="J21" s="2" t="s">
        <v>1</v>
      </c>
      <c r="K21" s="2" t="s">
        <v>689</v>
      </c>
      <c r="L21" s="3" t="s">
        <v>2</v>
      </c>
      <c r="M21">
        <v>4</v>
      </c>
      <c r="N21" t="s">
        <v>37</v>
      </c>
    </row>
    <row r="22" spans="1:14" x14ac:dyDescent="0.2">
      <c r="A22" t="s">
        <v>586</v>
      </c>
      <c r="B22">
        <v>0.16400000000000001</v>
      </c>
      <c r="C22">
        <f>EXP(-B22)</f>
        <v>0.84874202188020675</v>
      </c>
      <c r="D22" s="4" t="s">
        <v>1</v>
      </c>
      <c r="E22" s="5" t="s">
        <v>688</v>
      </c>
      <c r="F22" s="6" t="s">
        <v>0</v>
      </c>
      <c r="G22" s="5" t="s">
        <v>590</v>
      </c>
      <c r="H22" s="5">
        <v>0</v>
      </c>
      <c r="I22" s="5">
        <f t="shared" si="0"/>
        <v>1</v>
      </c>
      <c r="J22" s="5" t="s">
        <v>1</v>
      </c>
      <c r="K22" s="5" t="s">
        <v>688</v>
      </c>
      <c r="L22" s="6" t="s">
        <v>2</v>
      </c>
    </row>
    <row r="23" spans="1:14" x14ac:dyDescent="0.2">
      <c r="D23" s="1"/>
      <c r="E23" s="2"/>
      <c r="F23" s="3"/>
      <c r="G23" s="2" t="s">
        <v>614</v>
      </c>
      <c r="H23" s="2">
        <v>0</v>
      </c>
      <c r="I23" s="2">
        <f t="shared" si="0"/>
        <v>1</v>
      </c>
      <c r="J23" s="2" t="s">
        <v>15</v>
      </c>
      <c r="K23" s="2" t="s">
        <v>689</v>
      </c>
      <c r="L23" s="3" t="s">
        <v>2</v>
      </c>
      <c r="M23">
        <v>2</v>
      </c>
      <c r="N23" t="s">
        <v>29</v>
      </c>
    </row>
    <row r="24" spans="1:14" x14ac:dyDescent="0.2">
      <c r="D24" s="4"/>
      <c r="E24" s="5"/>
      <c r="F24" s="6"/>
      <c r="G24" s="5" t="s">
        <v>609</v>
      </c>
      <c r="H24" s="5">
        <v>0.74199999999999999</v>
      </c>
      <c r="I24" s="5">
        <f t="shared" si="0"/>
        <v>0.47616064128198943</v>
      </c>
      <c r="J24" s="5" t="s">
        <v>15</v>
      </c>
      <c r="K24" s="5" t="s">
        <v>688</v>
      </c>
      <c r="L24" s="6" t="s">
        <v>2</v>
      </c>
    </row>
    <row r="25" spans="1:14" x14ac:dyDescent="0.2">
      <c r="D25" s="1"/>
      <c r="E25" s="2"/>
      <c r="F25" s="3"/>
      <c r="G25" s="2" t="s">
        <v>633</v>
      </c>
      <c r="H25" s="2">
        <v>0</v>
      </c>
      <c r="I25" s="2">
        <f t="shared" si="0"/>
        <v>1</v>
      </c>
      <c r="J25" s="2" t="s">
        <v>16</v>
      </c>
      <c r="K25" s="2" t="s">
        <v>689</v>
      </c>
      <c r="L25" s="3" t="s">
        <v>2</v>
      </c>
      <c r="M25">
        <v>2</v>
      </c>
      <c r="N25" t="s">
        <v>29</v>
      </c>
    </row>
    <row r="26" spans="1:14" x14ac:dyDescent="0.2">
      <c r="D26" s="4"/>
      <c r="E26" s="5"/>
      <c r="F26" s="6"/>
      <c r="G26" s="5" t="s">
        <v>624</v>
      </c>
      <c r="H26" s="5">
        <v>0</v>
      </c>
      <c r="I26" s="5">
        <f t="shared" si="0"/>
        <v>1</v>
      </c>
      <c r="J26" s="5" t="s">
        <v>16</v>
      </c>
      <c r="K26" s="5" t="s">
        <v>688</v>
      </c>
      <c r="L26" s="6" t="s">
        <v>2</v>
      </c>
    </row>
    <row r="27" spans="1:14" x14ac:dyDescent="0.2">
      <c r="A27" t="s">
        <v>666</v>
      </c>
      <c r="B27">
        <v>0.16400000000000001</v>
      </c>
      <c r="C27">
        <f>EXP(-B27)</f>
        <v>0.84874202188020675</v>
      </c>
      <c r="D27" s="1" t="s">
        <v>18</v>
      </c>
      <c r="E27" s="2" t="s">
        <v>689</v>
      </c>
      <c r="F27" s="3" t="s">
        <v>0</v>
      </c>
      <c r="G27" s="2" t="s">
        <v>671</v>
      </c>
      <c r="H27" s="2">
        <v>0</v>
      </c>
      <c r="I27" s="2">
        <f t="shared" si="0"/>
        <v>1</v>
      </c>
      <c r="J27" s="2" t="s">
        <v>18</v>
      </c>
      <c r="K27" s="2" t="s">
        <v>689</v>
      </c>
      <c r="L27" s="3" t="s">
        <v>2</v>
      </c>
      <c r="M27">
        <v>3</v>
      </c>
      <c r="N27" t="s">
        <v>27</v>
      </c>
    </row>
    <row r="28" spans="1:14" x14ac:dyDescent="0.2">
      <c r="D28" s="4"/>
      <c r="E28" s="5"/>
      <c r="F28" s="6"/>
      <c r="G28" s="5" t="s">
        <v>660</v>
      </c>
      <c r="H28" s="5">
        <v>0</v>
      </c>
      <c r="I28" s="5">
        <f t="shared" si="0"/>
        <v>1</v>
      </c>
      <c r="J28" s="5" t="s">
        <v>18</v>
      </c>
      <c r="K28" s="5" t="s">
        <v>688</v>
      </c>
      <c r="L28" s="6" t="s">
        <v>2</v>
      </c>
    </row>
    <row r="30" spans="1:14" x14ac:dyDescent="0.2">
      <c r="A30" t="s">
        <v>684</v>
      </c>
      <c r="B30">
        <v>0.63300000000000001</v>
      </c>
      <c r="C30">
        <f>EXP(-B30)</f>
        <v>0.53099641987211432</v>
      </c>
      <c r="D30" s="1" t="s">
        <v>20</v>
      </c>
      <c r="E30" s="2" t="s">
        <v>689</v>
      </c>
      <c r="F30" s="3" t="s">
        <v>0</v>
      </c>
      <c r="G30" s="2"/>
      <c r="H30" s="2"/>
      <c r="I30" s="2"/>
      <c r="J30" s="2"/>
      <c r="K30" s="2"/>
      <c r="L30" s="3"/>
      <c r="M30">
        <v>2</v>
      </c>
      <c r="N30" t="s">
        <v>21</v>
      </c>
    </row>
    <row r="31" spans="1:14" x14ac:dyDescent="0.2">
      <c r="D31" s="4"/>
      <c r="E31" s="5"/>
      <c r="F31" s="6"/>
      <c r="G31" s="5" t="s">
        <v>682</v>
      </c>
      <c r="H31" s="5">
        <v>0.46899999999999997</v>
      </c>
      <c r="I31" s="5">
        <f>EXP(-H31)</f>
        <v>0.62562758315631073</v>
      </c>
      <c r="J31" s="5" t="s">
        <v>20</v>
      </c>
      <c r="K31" s="5" t="s">
        <v>688</v>
      </c>
      <c r="L31" s="6" t="s">
        <v>2</v>
      </c>
    </row>
    <row r="32" spans="1:14" x14ac:dyDescent="0.2">
      <c r="A32" t="s">
        <v>510</v>
      </c>
      <c r="B32">
        <v>0.16400000000000001</v>
      </c>
      <c r="C32">
        <f>EXP(-B32)</f>
        <v>0.84874202188020675</v>
      </c>
      <c r="D32" t="s">
        <v>22</v>
      </c>
      <c r="E32" t="s">
        <v>688</v>
      </c>
      <c r="F32" s="8" t="s">
        <v>0</v>
      </c>
      <c r="M32">
        <v>1</v>
      </c>
      <c r="N32" t="s">
        <v>3</v>
      </c>
    </row>
    <row r="33" spans="1:14" x14ac:dyDescent="0.2">
      <c r="A33" t="s">
        <v>429</v>
      </c>
      <c r="B33">
        <v>0.83099999999999996</v>
      </c>
      <c r="C33">
        <f>EXP(-B33)</f>
        <v>0.4356134549872005</v>
      </c>
      <c r="D33" t="s">
        <v>23</v>
      </c>
      <c r="E33" t="s">
        <v>688</v>
      </c>
      <c r="F33" s="8" t="s">
        <v>0</v>
      </c>
      <c r="M33">
        <v>1</v>
      </c>
      <c r="N33" t="s">
        <v>3</v>
      </c>
    </row>
    <row r="34" spans="1:14" x14ac:dyDescent="0.2">
      <c r="G34" t="s">
        <v>650</v>
      </c>
      <c r="H34">
        <v>0.63300000000000001</v>
      </c>
      <c r="I34">
        <f>EXP(-H34)</f>
        <v>0.53099641987211432</v>
      </c>
      <c r="J34" t="s">
        <v>17</v>
      </c>
      <c r="K34" t="s">
        <v>689</v>
      </c>
      <c r="L34" t="s">
        <v>2</v>
      </c>
      <c r="M34">
        <v>1</v>
      </c>
      <c r="N34" t="s">
        <v>7</v>
      </c>
    </row>
    <row r="35" spans="1:14" x14ac:dyDescent="0.2">
      <c r="G35" t="s">
        <v>677</v>
      </c>
      <c r="H35">
        <v>2.8279999999999998</v>
      </c>
      <c r="I35">
        <f>EXP(-H35)</f>
        <v>5.9130997481217251E-2</v>
      </c>
      <c r="J35" t="s">
        <v>19</v>
      </c>
      <c r="K35" t="s">
        <v>688</v>
      </c>
      <c r="L35" t="s">
        <v>2</v>
      </c>
      <c r="M35">
        <v>1</v>
      </c>
      <c r="N35" t="s">
        <v>4</v>
      </c>
    </row>
    <row r="41" spans="1:14" x14ac:dyDescent="0.2">
      <c r="A41" t="s">
        <v>375</v>
      </c>
      <c r="B41">
        <v>0.16400000000000001</v>
      </c>
      <c r="C41">
        <f>EXP(-B41)</f>
        <v>0.84874202188020675</v>
      </c>
      <c r="D41" s="1" t="s">
        <v>0</v>
      </c>
      <c r="E41" s="2" t="s">
        <v>689</v>
      </c>
      <c r="F41" s="3" t="s">
        <v>9</v>
      </c>
      <c r="G41" s="2" t="s">
        <v>379</v>
      </c>
      <c r="H41" s="2">
        <v>0.16400000000000001</v>
      </c>
      <c r="I41" s="2">
        <f>EXP(-H41)</f>
        <v>0.84874202188020675</v>
      </c>
      <c r="J41" s="2" t="s">
        <v>0</v>
      </c>
      <c r="K41" s="2" t="s">
        <v>689</v>
      </c>
      <c r="L41" s="3" t="s">
        <v>16</v>
      </c>
      <c r="M41">
        <v>4</v>
      </c>
      <c r="N41" s="9" t="s">
        <v>37</v>
      </c>
    </row>
    <row r="42" spans="1:14" x14ac:dyDescent="0.2">
      <c r="A42" t="s">
        <v>365</v>
      </c>
      <c r="B42">
        <v>0.16400000000000001</v>
      </c>
      <c r="C42">
        <f>EXP(-B42)</f>
        <v>0.84874202188020675</v>
      </c>
      <c r="D42" s="4" t="s">
        <v>0</v>
      </c>
      <c r="E42" s="5" t="s">
        <v>688</v>
      </c>
      <c r="F42" s="6" t="s">
        <v>9</v>
      </c>
      <c r="G42" s="5" t="s">
        <v>372</v>
      </c>
      <c r="H42" s="5">
        <v>0.16400000000000001</v>
      </c>
      <c r="I42" s="5">
        <f>EXP(-H42)</f>
        <v>0.84874202188020675</v>
      </c>
      <c r="J42" s="5" t="s">
        <v>0</v>
      </c>
      <c r="K42" s="5" t="s">
        <v>688</v>
      </c>
      <c r="L42" s="6" t="s">
        <v>16</v>
      </c>
    </row>
    <row r="43" spans="1:14" x14ac:dyDescent="0.2">
      <c r="D43" s="1"/>
      <c r="E43" s="2"/>
      <c r="F43" s="3"/>
      <c r="G43" s="2" t="s">
        <v>390</v>
      </c>
      <c r="H43" s="2">
        <v>0</v>
      </c>
      <c r="I43" s="2">
        <f>EXP(-H43)</f>
        <v>1</v>
      </c>
      <c r="J43" s="2" t="s">
        <v>8</v>
      </c>
      <c r="K43" s="2" t="s">
        <v>689</v>
      </c>
      <c r="L43" s="3" t="s">
        <v>16</v>
      </c>
      <c r="M43">
        <v>2</v>
      </c>
      <c r="N43" s="9" t="s">
        <v>29</v>
      </c>
    </row>
    <row r="44" spans="1:14" x14ac:dyDescent="0.2">
      <c r="D44" s="4"/>
      <c r="E44" s="5"/>
      <c r="F44" s="6"/>
      <c r="G44" s="2" t="s">
        <v>384</v>
      </c>
      <c r="H44" s="2">
        <v>0.74199999999999999</v>
      </c>
      <c r="I44" s="2">
        <f>EXP(-H44)</f>
        <v>0.47616064128198943</v>
      </c>
      <c r="J44" s="5" t="s">
        <v>8</v>
      </c>
      <c r="K44" s="5" t="s">
        <v>688</v>
      </c>
      <c r="L44" s="6" t="s">
        <v>16</v>
      </c>
    </row>
    <row r="45" spans="1:14" x14ac:dyDescent="0.2">
      <c r="A45" t="s">
        <v>404</v>
      </c>
      <c r="B45">
        <v>0</v>
      </c>
      <c r="C45">
        <f>EXP(-B45)</f>
        <v>1</v>
      </c>
      <c r="D45" s="1" t="s">
        <v>9</v>
      </c>
      <c r="E45" s="2" t="s">
        <v>689</v>
      </c>
      <c r="F45" s="3" t="s">
        <v>9</v>
      </c>
      <c r="G45" s="5" t="s">
        <v>409</v>
      </c>
      <c r="H45" s="5">
        <v>0</v>
      </c>
      <c r="I45" s="5">
        <f>EXP(-H45)</f>
        <v>1</v>
      </c>
      <c r="J45" s="2" t="s">
        <v>9</v>
      </c>
      <c r="K45" s="2" t="s">
        <v>689</v>
      </c>
      <c r="L45" s="3" t="s">
        <v>16</v>
      </c>
      <c r="M45">
        <v>3</v>
      </c>
      <c r="N45" t="s">
        <v>36</v>
      </c>
    </row>
    <row r="46" spans="1:14" x14ac:dyDescent="0.2">
      <c r="A46" t="s">
        <v>394</v>
      </c>
      <c r="B46">
        <v>0</v>
      </c>
      <c r="C46">
        <f>EXP(-B46)</f>
        <v>1</v>
      </c>
      <c r="D46" s="4" t="s">
        <v>9</v>
      </c>
      <c r="E46" s="5" t="s">
        <v>688</v>
      </c>
      <c r="F46" s="6" t="s">
        <v>9</v>
      </c>
      <c r="J46" s="5"/>
      <c r="K46" s="5"/>
      <c r="L46" s="6"/>
    </row>
    <row r="47" spans="1:14" x14ac:dyDescent="0.2">
      <c r="A47" t="s">
        <v>421</v>
      </c>
      <c r="B47">
        <v>0</v>
      </c>
      <c r="C47">
        <f>EXP(-B47)</f>
        <v>1</v>
      </c>
      <c r="D47" s="1" t="s">
        <v>24</v>
      </c>
      <c r="E47" s="2" t="s">
        <v>689</v>
      </c>
      <c r="F47" s="3" t="s">
        <v>9</v>
      </c>
      <c r="G47" s="2" t="s">
        <v>426</v>
      </c>
      <c r="H47" s="2">
        <v>0</v>
      </c>
      <c r="I47" s="2">
        <f t="shared" ref="I47:I60" si="1">EXP(-H47)</f>
        <v>1</v>
      </c>
      <c r="J47" s="2" t="s">
        <v>24</v>
      </c>
      <c r="K47" s="2" t="s">
        <v>689</v>
      </c>
      <c r="L47" s="3" t="s">
        <v>16</v>
      </c>
      <c r="M47">
        <v>3</v>
      </c>
      <c r="N47" t="s">
        <v>27</v>
      </c>
    </row>
    <row r="48" spans="1:14" x14ac:dyDescent="0.2">
      <c r="D48" s="4"/>
      <c r="E48" s="5"/>
      <c r="F48" s="6"/>
      <c r="G48" s="5" t="s">
        <v>418</v>
      </c>
      <c r="H48" s="5">
        <v>0</v>
      </c>
      <c r="I48" s="5">
        <f t="shared" si="1"/>
        <v>1</v>
      </c>
      <c r="J48" s="5" t="s">
        <v>24</v>
      </c>
      <c r="K48" s="5" t="s">
        <v>688</v>
      </c>
      <c r="L48" s="6" t="s">
        <v>16</v>
      </c>
    </row>
    <row r="49" spans="1:14" x14ac:dyDescent="0.2">
      <c r="A49" t="s">
        <v>446</v>
      </c>
      <c r="B49">
        <v>0</v>
      </c>
      <c r="C49">
        <f t="shared" ref="C49:C57" si="2">EXP(-B49)</f>
        <v>1</v>
      </c>
      <c r="D49" s="1" t="s">
        <v>10</v>
      </c>
      <c r="E49" s="2" t="s">
        <v>689</v>
      </c>
      <c r="F49" s="3" t="s">
        <v>9</v>
      </c>
      <c r="G49" s="2" t="s">
        <v>453</v>
      </c>
      <c r="H49" s="2">
        <v>0</v>
      </c>
      <c r="I49" s="2">
        <f t="shared" si="1"/>
        <v>1</v>
      </c>
      <c r="J49" s="2" t="s">
        <v>10</v>
      </c>
      <c r="K49" s="2" t="s">
        <v>689</v>
      </c>
      <c r="L49" s="3" t="s">
        <v>16</v>
      </c>
      <c r="M49">
        <v>4</v>
      </c>
      <c r="N49" s="9" t="s">
        <v>37</v>
      </c>
    </row>
    <row r="50" spans="1:14" x14ac:dyDescent="0.2">
      <c r="A50" t="s">
        <v>439</v>
      </c>
      <c r="B50">
        <v>0</v>
      </c>
      <c r="C50">
        <f t="shared" si="2"/>
        <v>1</v>
      </c>
      <c r="D50" s="4" t="s">
        <v>10</v>
      </c>
      <c r="E50" s="5" t="s">
        <v>688</v>
      </c>
      <c r="F50" s="6" t="s">
        <v>9</v>
      </c>
      <c r="G50" s="5" t="s">
        <v>443</v>
      </c>
      <c r="H50" s="5">
        <v>0</v>
      </c>
      <c r="I50" s="5">
        <f t="shared" si="1"/>
        <v>1</v>
      </c>
      <c r="J50" s="5" t="s">
        <v>10</v>
      </c>
      <c r="K50" s="5" t="s">
        <v>688</v>
      </c>
      <c r="L50" s="6" t="s">
        <v>16</v>
      </c>
    </row>
    <row r="51" spans="1:14" x14ac:dyDescent="0.2">
      <c r="A51" t="s">
        <v>477</v>
      </c>
      <c r="B51">
        <v>0</v>
      </c>
      <c r="C51">
        <f t="shared" si="2"/>
        <v>1</v>
      </c>
      <c r="D51" s="1" t="s">
        <v>12</v>
      </c>
      <c r="E51" s="2" t="s">
        <v>689</v>
      </c>
      <c r="F51" s="3" t="s">
        <v>9</v>
      </c>
      <c r="G51" s="2" t="s">
        <v>482</v>
      </c>
      <c r="H51" s="2">
        <v>0</v>
      </c>
      <c r="I51" s="2">
        <f t="shared" si="1"/>
        <v>1</v>
      </c>
      <c r="J51" s="2" t="s">
        <v>12</v>
      </c>
      <c r="K51" s="2" t="s">
        <v>689</v>
      </c>
      <c r="L51" s="3" t="s">
        <v>16</v>
      </c>
      <c r="M51">
        <v>4</v>
      </c>
      <c r="N51" s="9" t="s">
        <v>37</v>
      </c>
    </row>
    <row r="52" spans="1:14" x14ac:dyDescent="0.2">
      <c r="A52" t="s">
        <v>469</v>
      </c>
      <c r="B52">
        <v>0</v>
      </c>
      <c r="C52">
        <f t="shared" si="2"/>
        <v>1</v>
      </c>
      <c r="D52" s="4" t="s">
        <v>12</v>
      </c>
      <c r="E52" s="5" t="s">
        <v>688</v>
      </c>
      <c r="F52" s="6" t="s">
        <v>9</v>
      </c>
      <c r="G52" s="5" t="s">
        <v>475</v>
      </c>
      <c r="H52" s="5">
        <v>0</v>
      </c>
      <c r="I52" s="5">
        <f t="shared" si="1"/>
        <v>1</v>
      </c>
      <c r="J52" s="5" t="s">
        <v>12</v>
      </c>
      <c r="K52" s="5" t="s">
        <v>688</v>
      </c>
      <c r="L52" s="6" t="s">
        <v>16</v>
      </c>
    </row>
    <row r="53" spans="1:14" x14ac:dyDescent="0.2">
      <c r="A53" t="s">
        <v>498</v>
      </c>
      <c r="B53">
        <v>0</v>
      </c>
      <c r="C53">
        <f t="shared" si="2"/>
        <v>1</v>
      </c>
      <c r="D53" s="1" t="s">
        <v>5</v>
      </c>
      <c r="E53" s="2" t="s">
        <v>689</v>
      </c>
      <c r="F53" s="3" t="s">
        <v>9</v>
      </c>
      <c r="G53" s="2" t="s">
        <v>506</v>
      </c>
      <c r="H53" s="2">
        <v>0</v>
      </c>
      <c r="I53" s="2">
        <f t="shared" si="1"/>
        <v>1</v>
      </c>
      <c r="J53" s="2" t="s">
        <v>5</v>
      </c>
      <c r="K53" s="2" t="s">
        <v>689</v>
      </c>
      <c r="L53" s="3" t="s">
        <v>16</v>
      </c>
      <c r="M53">
        <v>4</v>
      </c>
      <c r="N53" s="9" t="s">
        <v>37</v>
      </c>
    </row>
    <row r="54" spans="1:14" x14ac:dyDescent="0.2">
      <c r="A54" t="s">
        <v>487</v>
      </c>
      <c r="B54">
        <v>0</v>
      </c>
      <c r="C54">
        <f t="shared" si="2"/>
        <v>1</v>
      </c>
      <c r="D54" s="4" t="s">
        <v>5</v>
      </c>
      <c r="E54" s="5" t="s">
        <v>688</v>
      </c>
      <c r="F54" s="6" t="s">
        <v>9</v>
      </c>
      <c r="G54" s="5" t="s">
        <v>493</v>
      </c>
      <c r="H54" s="5">
        <v>0</v>
      </c>
      <c r="I54" s="5">
        <f t="shared" si="1"/>
        <v>1</v>
      </c>
      <c r="J54" s="5" t="s">
        <v>5</v>
      </c>
      <c r="K54" s="5" t="s">
        <v>688</v>
      </c>
      <c r="L54" s="6" t="s">
        <v>16</v>
      </c>
    </row>
    <row r="55" spans="1:14" x14ac:dyDescent="0.2">
      <c r="A55" t="s">
        <v>522</v>
      </c>
      <c r="B55">
        <v>0</v>
      </c>
      <c r="C55">
        <f t="shared" si="2"/>
        <v>1</v>
      </c>
      <c r="D55" s="1" t="s">
        <v>22</v>
      </c>
      <c r="E55" s="2" t="s">
        <v>689</v>
      </c>
      <c r="F55" s="3" t="s">
        <v>9</v>
      </c>
      <c r="G55" s="2" t="s">
        <v>525</v>
      </c>
      <c r="H55" s="2">
        <v>0</v>
      </c>
      <c r="I55" s="2">
        <f t="shared" si="1"/>
        <v>1</v>
      </c>
      <c r="J55" s="2" t="s">
        <v>22</v>
      </c>
      <c r="K55" s="2" t="s">
        <v>689</v>
      </c>
      <c r="L55" s="3" t="s">
        <v>16</v>
      </c>
      <c r="M55">
        <v>4</v>
      </c>
      <c r="N55" s="9" t="s">
        <v>37</v>
      </c>
    </row>
    <row r="56" spans="1:14" x14ac:dyDescent="0.2">
      <c r="A56" t="s">
        <v>512</v>
      </c>
      <c r="B56">
        <v>0</v>
      </c>
      <c r="C56">
        <f t="shared" si="2"/>
        <v>1</v>
      </c>
      <c r="D56" s="4" t="s">
        <v>22</v>
      </c>
      <c r="E56" s="5" t="s">
        <v>688</v>
      </c>
      <c r="F56" s="6" t="s">
        <v>9</v>
      </c>
      <c r="G56" s="5" t="s">
        <v>518</v>
      </c>
      <c r="H56" s="5">
        <v>0</v>
      </c>
      <c r="I56" s="5">
        <f t="shared" si="1"/>
        <v>1</v>
      </c>
      <c r="J56" s="5" t="s">
        <v>22</v>
      </c>
      <c r="K56" s="5" t="s">
        <v>688</v>
      </c>
      <c r="L56" s="6" t="s">
        <v>16</v>
      </c>
    </row>
    <row r="57" spans="1:14" x14ac:dyDescent="0.2">
      <c r="A57" t="s">
        <v>537</v>
      </c>
      <c r="B57">
        <v>0</v>
      </c>
      <c r="C57">
        <f t="shared" si="2"/>
        <v>1</v>
      </c>
      <c r="D57" s="1" t="s">
        <v>13</v>
      </c>
      <c r="E57" s="2" t="s">
        <v>689</v>
      </c>
      <c r="F57" s="3" t="s">
        <v>9</v>
      </c>
      <c r="G57" s="2" t="s">
        <v>541</v>
      </c>
      <c r="H57" s="2">
        <v>0</v>
      </c>
      <c r="I57" s="2">
        <f t="shared" si="1"/>
        <v>1</v>
      </c>
      <c r="J57" s="2" t="s">
        <v>13</v>
      </c>
      <c r="K57" s="2" t="s">
        <v>689</v>
      </c>
      <c r="L57" s="3" t="s">
        <v>16</v>
      </c>
      <c r="M57">
        <v>3</v>
      </c>
      <c r="N57" t="s">
        <v>27</v>
      </c>
    </row>
    <row r="58" spans="1:14" x14ac:dyDescent="0.2">
      <c r="D58" s="4"/>
      <c r="E58" s="5"/>
      <c r="F58" s="6"/>
      <c r="G58" s="5" t="s">
        <v>535</v>
      </c>
      <c r="H58" s="5">
        <v>0</v>
      </c>
      <c r="I58" s="5">
        <f t="shared" si="1"/>
        <v>1</v>
      </c>
      <c r="J58" s="5" t="s">
        <v>13</v>
      </c>
      <c r="K58" s="5" t="s">
        <v>688</v>
      </c>
      <c r="L58" s="6" t="s">
        <v>16</v>
      </c>
    </row>
    <row r="59" spans="1:14" x14ac:dyDescent="0.2">
      <c r="A59" t="s">
        <v>552</v>
      </c>
      <c r="B59">
        <v>0</v>
      </c>
      <c r="C59">
        <f>EXP(-B59)</f>
        <v>1</v>
      </c>
      <c r="D59" s="1" t="s">
        <v>2</v>
      </c>
      <c r="E59" s="2" t="s">
        <v>689</v>
      </c>
      <c r="F59" s="3" t="s">
        <v>9</v>
      </c>
      <c r="G59" s="2" t="s">
        <v>557</v>
      </c>
      <c r="H59" s="2">
        <v>0</v>
      </c>
      <c r="I59" s="2">
        <f t="shared" si="1"/>
        <v>1</v>
      </c>
      <c r="J59" s="2" t="s">
        <v>2</v>
      </c>
      <c r="K59" s="2" t="s">
        <v>689</v>
      </c>
      <c r="L59" s="3" t="s">
        <v>16</v>
      </c>
      <c r="M59">
        <v>3</v>
      </c>
      <c r="N59" t="s">
        <v>27</v>
      </c>
    </row>
    <row r="60" spans="1:14" x14ac:dyDescent="0.2">
      <c r="D60" s="4"/>
      <c r="E60" s="5"/>
      <c r="F60" s="6"/>
      <c r="G60" s="5" t="s">
        <v>549</v>
      </c>
      <c r="H60" s="5">
        <v>0</v>
      </c>
      <c r="I60" s="5">
        <f t="shared" si="1"/>
        <v>1</v>
      </c>
      <c r="J60" s="5" t="s">
        <v>2</v>
      </c>
      <c r="K60" s="5" t="s">
        <v>688</v>
      </c>
      <c r="L60" s="6" t="s">
        <v>16</v>
      </c>
    </row>
    <row r="61" spans="1:14" x14ac:dyDescent="0.2">
      <c r="A61" t="s">
        <v>576</v>
      </c>
      <c r="B61">
        <v>0</v>
      </c>
      <c r="C61">
        <f>EXP(-B61)</f>
        <v>1</v>
      </c>
      <c r="D61" s="1" t="s">
        <v>14</v>
      </c>
      <c r="E61" s="2" t="s">
        <v>689</v>
      </c>
      <c r="F61" s="3" t="s">
        <v>9</v>
      </c>
      <c r="G61" s="2"/>
      <c r="H61" s="2"/>
      <c r="I61" s="2"/>
      <c r="J61" s="2"/>
      <c r="K61" s="2"/>
      <c r="L61" s="3"/>
      <c r="M61">
        <v>3</v>
      </c>
      <c r="N61" t="s">
        <v>30</v>
      </c>
    </row>
    <row r="62" spans="1:14" x14ac:dyDescent="0.2">
      <c r="A62" t="s">
        <v>563</v>
      </c>
      <c r="B62">
        <v>0</v>
      </c>
      <c r="C62">
        <f>EXP(-B62)</f>
        <v>1</v>
      </c>
      <c r="D62" s="4" t="s">
        <v>14</v>
      </c>
      <c r="E62" s="5" t="s">
        <v>688</v>
      </c>
      <c r="F62" s="6" t="s">
        <v>9</v>
      </c>
      <c r="G62" s="5" t="s">
        <v>571</v>
      </c>
      <c r="H62" s="5">
        <v>0</v>
      </c>
      <c r="I62" s="5">
        <f t="shared" ref="I62:I72" si="3">EXP(-H62)</f>
        <v>1</v>
      </c>
      <c r="J62" s="5" t="s">
        <v>14</v>
      </c>
      <c r="K62" s="5" t="s">
        <v>688</v>
      </c>
      <c r="L62" s="6" t="s">
        <v>16</v>
      </c>
    </row>
    <row r="63" spans="1:14" x14ac:dyDescent="0.2">
      <c r="A63" t="s">
        <v>596</v>
      </c>
      <c r="B63">
        <v>0</v>
      </c>
      <c r="C63">
        <f>EXP(-B63)</f>
        <v>1</v>
      </c>
      <c r="D63" s="1" t="s">
        <v>1</v>
      </c>
      <c r="E63" s="2" t="s">
        <v>689</v>
      </c>
      <c r="F63" s="3" t="s">
        <v>9</v>
      </c>
      <c r="G63" s="2" t="s">
        <v>604</v>
      </c>
      <c r="H63" s="2">
        <v>0</v>
      </c>
      <c r="I63" s="2">
        <f t="shared" si="3"/>
        <v>1</v>
      </c>
      <c r="J63" s="2" t="s">
        <v>1</v>
      </c>
      <c r="K63" s="2" t="s">
        <v>689</v>
      </c>
      <c r="L63" s="3" t="s">
        <v>16</v>
      </c>
      <c r="M63">
        <v>4</v>
      </c>
      <c r="N63" s="9" t="s">
        <v>37</v>
      </c>
    </row>
    <row r="64" spans="1:14" x14ac:dyDescent="0.2">
      <c r="A64" t="s">
        <v>587</v>
      </c>
      <c r="B64">
        <v>0</v>
      </c>
      <c r="C64">
        <f>EXP(-B64)</f>
        <v>1</v>
      </c>
      <c r="D64" s="4" t="s">
        <v>1</v>
      </c>
      <c r="E64" s="5" t="s">
        <v>688</v>
      </c>
      <c r="F64" s="6" t="s">
        <v>9</v>
      </c>
      <c r="G64" s="5" t="s">
        <v>592</v>
      </c>
      <c r="H64" s="5">
        <v>0</v>
      </c>
      <c r="I64" s="5">
        <f t="shared" si="3"/>
        <v>1</v>
      </c>
      <c r="J64" s="5" t="s">
        <v>1</v>
      </c>
      <c r="K64" s="5" t="s">
        <v>688</v>
      </c>
      <c r="L64" s="6" t="s">
        <v>16</v>
      </c>
    </row>
    <row r="65" spans="1:14" x14ac:dyDescent="0.2">
      <c r="D65" s="1"/>
      <c r="E65" s="2"/>
      <c r="F65" s="3"/>
      <c r="G65" s="2" t="s">
        <v>617</v>
      </c>
      <c r="H65" s="2">
        <v>0</v>
      </c>
      <c r="I65" s="2">
        <f t="shared" si="3"/>
        <v>1</v>
      </c>
      <c r="J65" s="2" t="s">
        <v>15</v>
      </c>
      <c r="K65" s="2" t="s">
        <v>689</v>
      </c>
      <c r="L65" s="3" t="s">
        <v>16</v>
      </c>
      <c r="M65">
        <v>2</v>
      </c>
      <c r="N65" s="9" t="s">
        <v>29</v>
      </c>
    </row>
    <row r="66" spans="1:14" x14ac:dyDescent="0.2">
      <c r="D66" s="4"/>
      <c r="E66" s="5"/>
      <c r="F66" s="6"/>
      <c r="G66" s="5" t="s">
        <v>610</v>
      </c>
      <c r="H66" s="5">
        <v>0.74199999999999999</v>
      </c>
      <c r="I66" s="5">
        <f t="shared" si="3"/>
        <v>0.47616064128198943</v>
      </c>
      <c r="J66" s="5" t="s">
        <v>15</v>
      </c>
      <c r="K66" s="5" t="s">
        <v>688</v>
      </c>
      <c r="L66" s="6" t="s">
        <v>16</v>
      </c>
    </row>
    <row r="67" spans="1:14" x14ac:dyDescent="0.2">
      <c r="A67" t="s">
        <v>629</v>
      </c>
      <c r="B67">
        <v>0</v>
      </c>
      <c r="C67">
        <f>EXP(-B67)</f>
        <v>1</v>
      </c>
      <c r="D67" s="1" t="s">
        <v>16</v>
      </c>
      <c r="E67" s="2" t="s">
        <v>689</v>
      </c>
      <c r="F67" s="3" t="s">
        <v>9</v>
      </c>
      <c r="G67" s="2" t="s">
        <v>635</v>
      </c>
      <c r="H67" s="2">
        <v>0</v>
      </c>
      <c r="I67" s="2">
        <f t="shared" si="3"/>
        <v>1</v>
      </c>
      <c r="J67" s="2" t="s">
        <v>16</v>
      </c>
      <c r="K67" s="2" t="s">
        <v>689</v>
      </c>
      <c r="L67" s="3" t="s">
        <v>16</v>
      </c>
      <c r="M67">
        <v>4</v>
      </c>
      <c r="N67" s="9" t="s">
        <v>37</v>
      </c>
    </row>
    <row r="68" spans="1:14" x14ac:dyDescent="0.2">
      <c r="A68" t="s">
        <v>620</v>
      </c>
      <c r="B68">
        <v>0</v>
      </c>
      <c r="C68">
        <f>EXP(-B68)</f>
        <v>1</v>
      </c>
      <c r="D68" s="4" t="s">
        <v>16</v>
      </c>
      <c r="E68" s="5" t="s">
        <v>688</v>
      </c>
      <c r="F68" s="6" t="s">
        <v>9</v>
      </c>
      <c r="G68" s="5" t="s">
        <v>626</v>
      </c>
      <c r="H68" s="5">
        <v>0</v>
      </c>
      <c r="I68" s="5">
        <f t="shared" si="3"/>
        <v>1</v>
      </c>
      <c r="J68" s="5" t="s">
        <v>16</v>
      </c>
      <c r="K68" s="5" t="s">
        <v>688</v>
      </c>
      <c r="L68" s="6" t="s">
        <v>16</v>
      </c>
    </row>
    <row r="69" spans="1:14" x14ac:dyDescent="0.2">
      <c r="D69" s="1"/>
      <c r="E69" s="2"/>
      <c r="F69" s="3"/>
      <c r="G69" s="2" t="s">
        <v>651</v>
      </c>
      <c r="H69" s="2">
        <v>0.63300000000000001</v>
      </c>
      <c r="I69" s="2">
        <f t="shared" si="3"/>
        <v>0.53099641987211432</v>
      </c>
      <c r="J69" s="2" t="s">
        <v>17</v>
      </c>
      <c r="K69" s="2" t="s">
        <v>689</v>
      </c>
      <c r="L69" s="3" t="s">
        <v>16</v>
      </c>
      <c r="M69">
        <v>2</v>
      </c>
      <c r="N69" t="s">
        <v>29</v>
      </c>
    </row>
    <row r="70" spans="1:14" x14ac:dyDescent="0.2">
      <c r="D70" s="4"/>
      <c r="E70" s="5"/>
      <c r="F70" s="6"/>
      <c r="G70" s="5" t="s">
        <v>646</v>
      </c>
      <c r="H70" s="5">
        <v>0.63300000000000001</v>
      </c>
      <c r="I70" s="5">
        <f t="shared" si="3"/>
        <v>0.53099641987211432</v>
      </c>
      <c r="J70" s="5" t="s">
        <v>17</v>
      </c>
      <c r="K70" s="5" t="s">
        <v>688</v>
      </c>
      <c r="L70" s="6" t="s">
        <v>16</v>
      </c>
    </row>
    <row r="71" spans="1:14" x14ac:dyDescent="0.2">
      <c r="D71" s="1"/>
      <c r="E71" s="2"/>
      <c r="F71" s="3"/>
      <c r="G71" s="2" t="s">
        <v>673</v>
      </c>
      <c r="H71" s="2">
        <v>0</v>
      </c>
      <c r="I71" s="2">
        <f t="shared" si="3"/>
        <v>1</v>
      </c>
      <c r="J71" s="2" t="s">
        <v>18</v>
      </c>
      <c r="K71" s="2" t="s">
        <v>689</v>
      </c>
      <c r="L71" s="3" t="s">
        <v>16</v>
      </c>
      <c r="M71">
        <v>3</v>
      </c>
      <c r="N71" s="9" t="s">
        <v>28</v>
      </c>
    </row>
    <row r="72" spans="1:14" x14ac:dyDescent="0.2">
      <c r="A72" t="s">
        <v>668</v>
      </c>
      <c r="B72">
        <v>0</v>
      </c>
      <c r="C72">
        <f>EXP(-B72)</f>
        <v>1</v>
      </c>
      <c r="D72" s="4" t="s">
        <v>18</v>
      </c>
      <c r="E72" s="5" t="s">
        <v>689</v>
      </c>
      <c r="F72" s="6" t="s">
        <v>9</v>
      </c>
      <c r="G72" s="5" t="s">
        <v>663</v>
      </c>
      <c r="H72" s="5">
        <v>0</v>
      </c>
      <c r="I72" s="5">
        <f t="shared" si="3"/>
        <v>1</v>
      </c>
      <c r="J72" s="5" t="s">
        <v>18</v>
      </c>
      <c r="K72" s="5" t="s">
        <v>688</v>
      </c>
      <c r="L72" s="6" t="s">
        <v>16</v>
      </c>
    </row>
    <row r="73" spans="1:14" x14ac:dyDescent="0.2">
      <c r="A73" t="s">
        <v>639</v>
      </c>
      <c r="B73">
        <v>1.2729999999999999</v>
      </c>
      <c r="C73">
        <f>EXP(-B73)</f>
        <v>0.27999038939254761</v>
      </c>
      <c r="D73" t="s">
        <v>25</v>
      </c>
      <c r="E73" t="s">
        <v>689</v>
      </c>
      <c r="F73" s="8" t="s">
        <v>9</v>
      </c>
      <c r="M73">
        <v>1</v>
      </c>
      <c r="N73" t="s">
        <v>6</v>
      </c>
    </row>
    <row r="74" spans="1:14" x14ac:dyDescent="0.2">
      <c r="A74" t="s">
        <v>433</v>
      </c>
      <c r="B74">
        <v>0.66700000000000004</v>
      </c>
      <c r="C74">
        <f>EXP(-B74)</f>
        <v>0.51324600851291879</v>
      </c>
      <c r="D74" t="s">
        <v>23</v>
      </c>
      <c r="E74" t="s">
        <v>689</v>
      </c>
      <c r="F74" s="8" t="s">
        <v>9</v>
      </c>
      <c r="M74">
        <v>1</v>
      </c>
      <c r="N74" t="s">
        <v>6</v>
      </c>
    </row>
    <row r="78" spans="1:14" x14ac:dyDescent="0.2">
      <c r="A78" t="s">
        <v>380</v>
      </c>
      <c r="B78">
        <v>0.32800000000000001</v>
      </c>
      <c r="C78">
        <f>EXP(-B78)</f>
        <v>0.72036301970530137</v>
      </c>
      <c r="D78" s="1" t="s">
        <v>0</v>
      </c>
      <c r="E78" s="2" t="s">
        <v>689</v>
      </c>
      <c r="F78" s="3" t="s">
        <v>17</v>
      </c>
      <c r="G78" s="2" t="s">
        <v>376</v>
      </c>
      <c r="H78" s="2">
        <v>0.16400000000000001</v>
      </c>
      <c r="I78" s="2">
        <f>EXP(-H78)</f>
        <v>0.84874202188020675</v>
      </c>
      <c r="J78" s="2" t="s">
        <v>0</v>
      </c>
      <c r="K78" s="2" t="s">
        <v>689</v>
      </c>
      <c r="L78" s="3" t="s">
        <v>24</v>
      </c>
      <c r="M78">
        <v>3</v>
      </c>
      <c r="N78" t="s">
        <v>27</v>
      </c>
    </row>
    <row r="79" spans="1:14" x14ac:dyDescent="0.2">
      <c r="D79" s="4"/>
      <c r="E79" s="5"/>
      <c r="F79" s="6"/>
      <c r="G79" s="5" t="s">
        <v>366</v>
      </c>
      <c r="H79" s="5">
        <v>0.16400000000000001</v>
      </c>
      <c r="I79" s="5">
        <f>EXP(-H79)</f>
        <v>0.84874202188020675</v>
      </c>
      <c r="J79" s="5" t="s">
        <v>0</v>
      </c>
      <c r="K79" s="5" t="s">
        <v>688</v>
      </c>
      <c r="L79" s="6" t="s">
        <v>24</v>
      </c>
    </row>
    <row r="80" spans="1:14" x14ac:dyDescent="0.2">
      <c r="D80" s="1"/>
      <c r="E80" s="2"/>
      <c r="F80" s="3"/>
      <c r="G80" s="2" t="s">
        <v>387</v>
      </c>
      <c r="H80" s="2">
        <v>0</v>
      </c>
      <c r="I80" s="2">
        <f>EXP(-H80)</f>
        <v>1</v>
      </c>
      <c r="J80" s="2" t="s">
        <v>8</v>
      </c>
      <c r="K80" s="2" t="s">
        <v>689</v>
      </c>
      <c r="L80" s="3" t="s">
        <v>24</v>
      </c>
      <c r="M80">
        <v>2</v>
      </c>
      <c r="N80" s="9" t="s">
        <v>29</v>
      </c>
    </row>
    <row r="81" spans="1:14" x14ac:dyDescent="0.2">
      <c r="D81" s="4"/>
      <c r="E81" s="5"/>
      <c r="F81" s="6"/>
      <c r="G81" s="5" t="s">
        <v>395</v>
      </c>
      <c r="H81" s="5">
        <v>0</v>
      </c>
      <c r="I81" s="5">
        <f>EXP(-H81)</f>
        <v>1</v>
      </c>
      <c r="J81" s="5" t="s">
        <v>9</v>
      </c>
      <c r="K81" s="5" t="s">
        <v>688</v>
      </c>
      <c r="L81" s="6" t="s">
        <v>24</v>
      </c>
    </row>
    <row r="82" spans="1:14" x14ac:dyDescent="0.2">
      <c r="G82" t="s">
        <v>422</v>
      </c>
      <c r="H82">
        <v>0</v>
      </c>
      <c r="I82">
        <f>EXP(-H82)</f>
        <v>1</v>
      </c>
      <c r="J82" t="s">
        <v>24</v>
      </c>
      <c r="K82" t="s">
        <v>689</v>
      </c>
      <c r="L82" t="s">
        <v>24</v>
      </c>
      <c r="M82">
        <v>1</v>
      </c>
      <c r="N82" t="s">
        <v>690</v>
      </c>
    </row>
    <row r="83" spans="1:14" x14ac:dyDescent="0.2">
      <c r="D83" s="1"/>
      <c r="E83" s="2"/>
      <c r="F83" s="3"/>
      <c r="G83" s="2"/>
      <c r="H83" s="2"/>
      <c r="I83" s="2"/>
      <c r="J83" s="2"/>
      <c r="K83" s="2"/>
      <c r="L83" s="3"/>
      <c r="M83">
        <v>2</v>
      </c>
      <c r="N83" t="s">
        <v>32</v>
      </c>
    </row>
    <row r="84" spans="1:14" x14ac:dyDescent="0.2">
      <c r="A84" t="s">
        <v>432</v>
      </c>
      <c r="B84">
        <v>1.337</v>
      </c>
      <c r="C84">
        <f>EXP(-B84)</f>
        <v>0.26263238507076536</v>
      </c>
      <c r="D84" s="4" t="s">
        <v>23</v>
      </c>
      <c r="E84" s="5" t="s">
        <v>688</v>
      </c>
      <c r="F84" s="6" t="s">
        <v>17</v>
      </c>
      <c r="G84" s="5" t="s">
        <v>430</v>
      </c>
      <c r="H84" s="5">
        <v>0.66700000000000004</v>
      </c>
      <c r="I84" s="5">
        <f t="shared" ref="I84:I93" si="4">EXP(-H84)</f>
        <v>0.51324600851291879</v>
      </c>
      <c r="J84" s="5" t="s">
        <v>23</v>
      </c>
      <c r="K84" s="5" t="s">
        <v>688</v>
      </c>
      <c r="L84" s="6" t="s">
        <v>24</v>
      </c>
    </row>
    <row r="85" spans="1:14" x14ac:dyDescent="0.2">
      <c r="G85" t="s">
        <v>458</v>
      </c>
      <c r="H85">
        <v>0.79100000000000004</v>
      </c>
      <c r="I85">
        <f t="shared" si="4"/>
        <v>0.4533911773338492</v>
      </c>
      <c r="J85" t="s">
        <v>11</v>
      </c>
      <c r="K85" t="s">
        <v>688</v>
      </c>
      <c r="L85" t="s">
        <v>24</v>
      </c>
      <c r="M85">
        <v>1</v>
      </c>
      <c r="N85" t="s">
        <v>4</v>
      </c>
    </row>
    <row r="86" spans="1:14" x14ac:dyDescent="0.2">
      <c r="D86" s="1"/>
      <c r="E86" s="2"/>
      <c r="F86" s="3"/>
      <c r="G86" s="2" t="s">
        <v>478</v>
      </c>
      <c r="H86" s="2">
        <v>0</v>
      </c>
      <c r="I86" s="2">
        <f t="shared" si="4"/>
        <v>1</v>
      </c>
      <c r="J86" s="2" t="s">
        <v>12</v>
      </c>
      <c r="K86" s="2" t="s">
        <v>689</v>
      </c>
      <c r="L86" s="3" t="s">
        <v>24</v>
      </c>
      <c r="M86">
        <v>2</v>
      </c>
      <c r="N86" s="9" t="s">
        <v>29</v>
      </c>
    </row>
    <row r="87" spans="1:14" x14ac:dyDescent="0.2">
      <c r="D87" s="4"/>
      <c r="E87" s="5"/>
      <c r="F87" s="6"/>
      <c r="G87" s="5" t="s">
        <v>470</v>
      </c>
      <c r="H87" s="5">
        <v>0</v>
      </c>
      <c r="I87" s="5">
        <f t="shared" si="4"/>
        <v>1</v>
      </c>
      <c r="J87" s="5" t="s">
        <v>12</v>
      </c>
      <c r="K87" s="5" t="s">
        <v>688</v>
      </c>
      <c r="L87" s="6" t="s">
        <v>24</v>
      </c>
    </row>
    <row r="88" spans="1:14" x14ac:dyDescent="0.2">
      <c r="A88" t="s">
        <v>508</v>
      </c>
      <c r="B88">
        <v>0.16400000000000001</v>
      </c>
      <c r="C88">
        <f>EXP(-B88)</f>
        <v>0.84874202188020675</v>
      </c>
      <c r="D88" s="1" t="s">
        <v>5</v>
      </c>
      <c r="E88" s="2" t="s">
        <v>689</v>
      </c>
      <c r="F88" s="3" t="s">
        <v>17</v>
      </c>
      <c r="G88" s="2" t="s">
        <v>499</v>
      </c>
      <c r="H88" s="2">
        <v>0</v>
      </c>
      <c r="I88" s="2">
        <f t="shared" si="4"/>
        <v>1</v>
      </c>
      <c r="J88" s="2" t="s">
        <v>5</v>
      </c>
      <c r="K88" s="2" t="s">
        <v>689</v>
      </c>
      <c r="L88" s="3" t="s">
        <v>24</v>
      </c>
      <c r="M88">
        <v>4</v>
      </c>
      <c r="N88" s="9" t="s">
        <v>37</v>
      </c>
    </row>
    <row r="89" spans="1:14" x14ac:dyDescent="0.2">
      <c r="A89" t="s">
        <v>494</v>
      </c>
      <c r="B89">
        <v>0.67</v>
      </c>
      <c r="C89">
        <f>EXP(-B89)</f>
        <v>0.51170857778654244</v>
      </c>
      <c r="D89" s="4" t="s">
        <v>5</v>
      </c>
      <c r="E89" s="5" t="s">
        <v>688</v>
      </c>
      <c r="F89" s="6" t="s">
        <v>17</v>
      </c>
      <c r="G89" s="5" t="s">
        <v>488</v>
      </c>
      <c r="H89" s="5">
        <v>0</v>
      </c>
      <c r="I89" s="5">
        <f t="shared" si="4"/>
        <v>1</v>
      </c>
      <c r="J89" s="5" t="s">
        <v>5</v>
      </c>
      <c r="K89" s="5" t="s">
        <v>688</v>
      </c>
      <c r="L89" s="6" t="s">
        <v>24</v>
      </c>
    </row>
    <row r="90" spans="1:14" x14ac:dyDescent="0.2">
      <c r="A90" t="s">
        <v>542</v>
      </c>
      <c r="B90">
        <v>0.16400000000000001</v>
      </c>
      <c r="C90">
        <f>EXP(-B90)</f>
        <v>0.84874202188020675</v>
      </c>
      <c r="D90" t="s">
        <v>13</v>
      </c>
      <c r="E90" t="s">
        <v>689</v>
      </c>
      <c r="F90" s="8" t="s">
        <v>17</v>
      </c>
      <c r="G90" t="s">
        <v>538</v>
      </c>
      <c r="H90">
        <v>0</v>
      </c>
      <c r="I90">
        <f t="shared" si="4"/>
        <v>1</v>
      </c>
      <c r="J90" t="s">
        <v>13</v>
      </c>
      <c r="K90" t="s">
        <v>689</v>
      </c>
      <c r="L90" t="s">
        <v>24</v>
      </c>
      <c r="M90">
        <v>2</v>
      </c>
      <c r="N90" s="9" t="s">
        <v>34</v>
      </c>
    </row>
    <row r="91" spans="1:14" x14ac:dyDescent="0.2">
      <c r="A91" t="s">
        <v>584</v>
      </c>
      <c r="B91">
        <v>0.16400000000000001</v>
      </c>
      <c r="C91">
        <f>EXP(-B91)</f>
        <v>0.84874202188020675</v>
      </c>
      <c r="D91" s="1" t="s">
        <v>14</v>
      </c>
      <c r="E91" s="2" t="s">
        <v>689</v>
      </c>
      <c r="F91" s="3" t="s">
        <v>17</v>
      </c>
      <c r="G91" s="2" t="s">
        <v>577</v>
      </c>
      <c r="H91" s="2">
        <v>0</v>
      </c>
      <c r="I91" s="2">
        <f t="shared" si="4"/>
        <v>1</v>
      </c>
      <c r="J91" s="2" t="s">
        <v>14</v>
      </c>
      <c r="K91" s="2" t="s">
        <v>689</v>
      </c>
      <c r="L91" s="3" t="s">
        <v>24</v>
      </c>
      <c r="M91">
        <v>3</v>
      </c>
      <c r="N91" t="s">
        <v>27</v>
      </c>
    </row>
    <row r="92" spans="1:14" x14ac:dyDescent="0.2">
      <c r="D92" s="4"/>
      <c r="E92" s="5"/>
      <c r="F92" s="6"/>
      <c r="G92" s="5" t="s">
        <v>564</v>
      </c>
      <c r="H92" s="5">
        <v>0</v>
      </c>
      <c r="I92" s="5">
        <f t="shared" si="4"/>
        <v>1</v>
      </c>
      <c r="J92" s="5" t="s">
        <v>14</v>
      </c>
      <c r="K92" s="5" t="s">
        <v>688</v>
      </c>
      <c r="L92" s="6" t="s">
        <v>24</v>
      </c>
    </row>
    <row r="93" spans="1:14" x14ac:dyDescent="0.2">
      <c r="G93" t="s">
        <v>598</v>
      </c>
      <c r="H93">
        <v>0</v>
      </c>
      <c r="I93">
        <f t="shared" si="4"/>
        <v>1</v>
      </c>
      <c r="J93" t="s">
        <v>1</v>
      </c>
      <c r="K93" t="s">
        <v>689</v>
      </c>
      <c r="L93" t="s">
        <v>24</v>
      </c>
      <c r="M93">
        <v>2</v>
      </c>
      <c r="N93" t="s">
        <v>31</v>
      </c>
    </row>
    <row r="94" spans="1:14" x14ac:dyDescent="0.2">
      <c r="A94" t="s">
        <v>594</v>
      </c>
      <c r="B94">
        <v>0.67</v>
      </c>
      <c r="C94">
        <f>EXP(-B94)</f>
        <v>0.51170857778654244</v>
      </c>
      <c r="D94" t="s">
        <v>1</v>
      </c>
      <c r="E94" t="s">
        <v>688</v>
      </c>
      <c r="F94" s="8" t="s">
        <v>17</v>
      </c>
    </row>
    <row r="95" spans="1:14" x14ac:dyDescent="0.2">
      <c r="A95" t="s">
        <v>619</v>
      </c>
      <c r="B95">
        <v>0.16400000000000001</v>
      </c>
      <c r="C95">
        <f>EXP(-B95)</f>
        <v>0.84874202188020675</v>
      </c>
      <c r="D95" s="1" t="s">
        <v>15</v>
      </c>
      <c r="E95" s="2" t="s">
        <v>689</v>
      </c>
      <c r="F95" s="3" t="s">
        <v>17</v>
      </c>
      <c r="G95" s="2" t="s">
        <v>612</v>
      </c>
      <c r="H95" s="2">
        <v>0</v>
      </c>
      <c r="I95" s="2">
        <f>EXP(-H95)</f>
        <v>1</v>
      </c>
      <c r="J95" s="2" t="s">
        <v>15</v>
      </c>
      <c r="K95" s="2" t="s">
        <v>689</v>
      </c>
      <c r="L95" s="3" t="s">
        <v>24</v>
      </c>
      <c r="M95">
        <v>3</v>
      </c>
      <c r="N95" t="s">
        <v>27</v>
      </c>
    </row>
    <row r="96" spans="1:14" x14ac:dyDescent="0.2">
      <c r="D96" s="4"/>
      <c r="E96" s="5"/>
      <c r="F96" s="6"/>
      <c r="G96" s="5" t="s">
        <v>607</v>
      </c>
      <c r="H96" s="5">
        <v>0.74199999999999999</v>
      </c>
      <c r="I96" s="5">
        <f>EXP(-H96)</f>
        <v>0.47616064128198943</v>
      </c>
      <c r="J96" s="5" t="s">
        <v>15</v>
      </c>
      <c r="K96" s="5" t="s">
        <v>688</v>
      </c>
      <c r="L96" s="6" t="s">
        <v>24</v>
      </c>
    </row>
    <row r="97" spans="1:14" x14ac:dyDescent="0.2">
      <c r="G97" t="s">
        <v>621</v>
      </c>
      <c r="H97">
        <v>0</v>
      </c>
      <c r="I97">
        <f>EXP(-H97)</f>
        <v>1</v>
      </c>
      <c r="J97" t="s">
        <v>16</v>
      </c>
      <c r="K97" t="s">
        <v>688</v>
      </c>
      <c r="L97" t="s">
        <v>24</v>
      </c>
      <c r="M97">
        <v>1</v>
      </c>
      <c r="N97" t="s">
        <v>4</v>
      </c>
    </row>
    <row r="98" spans="1:14" x14ac:dyDescent="0.2">
      <c r="G98" t="s">
        <v>640</v>
      </c>
      <c r="H98">
        <v>1.2729999999999999</v>
      </c>
      <c r="I98">
        <f>EXP(-H98)</f>
        <v>0.27999038939254761</v>
      </c>
      <c r="J98" t="s">
        <v>25</v>
      </c>
      <c r="K98" t="s">
        <v>689</v>
      </c>
      <c r="L98" t="s">
        <v>24</v>
      </c>
      <c r="M98">
        <v>1</v>
      </c>
      <c r="N98" t="s">
        <v>7</v>
      </c>
    </row>
    <row r="99" spans="1:14" x14ac:dyDescent="0.2">
      <c r="A99" t="s">
        <v>675</v>
      </c>
      <c r="B99">
        <v>0.16400000000000001</v>
      </c>
      <c r="C99">
        <f>EXP(-B99)</f>
        <v>0.84874202188020675</v>
      </c>
      <c r="D99" s="1" t="s">
        <v>18</v>
      </c>
      <c r="E99" s="2" t="s">
        <v>689</v>
      </c>
      <c r="F99" s="3" t="s">
        <v>17</v>
      </c>
      <c r="G99" s="2"/>
      <c r="H99" s="2"/>
      <c r="I99" s="2"/>
      <c r="J99" s="2"/>
      <c r="K99" s="2"/>
      <c r="L99" s="3"/>
      <c r="M99">
        <v>2</v>
      </c>
      <c r="N99" t="s">
        <v>21</v>
      </c>
    </row>
    <row r="100" spans="1:14" x14ac:dyDescent="0.2">
      <c r="D100" s="4"/>
      <c r="E100" s="5"/>
      <c r="F100" s="6"/>
      <c r="G100" s="5" t="s">
        <v>657</v>
      </c>
      <c r="H100" s="5">
        <v>0</v>
      </c>
      <c r="I100" s="5">
        <f>EXP(-H100)</f>
        <v>1</v>
      </c>
      <c r="J100" s="5" t="s">
        <v>18</v>
      </c>
      <c r="K100" s="5" t="s">
        <v>688</v>
      </c>
      <c r="L100" s="6" t="s">
        <v>24</v>
      </c>
    </row>
    <row r="101" spans="1:14" x14ac:dyDescent="0.2">
      <c r="D101" s="1"/>
      <c r="E101" s="2"/>
      <c r="F101" s="3"/>
      <c r="G101" s="2"/>
      <c r="H101" s="2"/>
      <c r="I101" s="2"/>
      <c r="J101" s="2"/>
      <c r="K101" s="2"/>
      <c r="L101" s="3"/>
      <c r="M101">
        <v>2</v>
      </c>
      <c r="N101" t="s">
        <v>32</v>
      </c>
    </row>
    <row r="102" spans="1:14" x14ac:dyDescent="0.2">
      <c r="A102" t="s">
        <v>683</v>
      </c>
      <c r="B102">
        <v>1.139</v>
      </c>
      <c r="C102">
        <f t="shared" ref="C102:C107" si="5">EXP(-B102)</f>
        <v>0.32013900080094759</v>
      </c>
      <c r="D102" s="4" t="s">
        <v>20</v>
      </c>
      <c r="E102" s="5" t="s">
        <v>688</v>
      </c>
      <c r="F102" s="6" t="s">
        <v>17</v>
      </c>
      <c r="G102" s="5" t="s">
        <v>679</v>
      </c>
      <c r="H102" s="5">
        <v>0.46899999999999997</v>
      </c>
      <c r="I102" s="5">
        <f>EXP(-H102)</f>
        <v>0.62562758315631073</v>
      </c>
      <c r="J102" s="5" t="s">
        <v>20</v>
      </c>
      <c r="K102" s="5" t="s">
        <v>688</v>
      </c>
      <c r="L102" s="6" t="s">
        <v>24</v>
      </c>
    </row>
    <row r="103" spans="1:14" x14ac:dyDescent="0.2">
      <c r="A103" t="s">
        <v>653</v>
      </c>
      <c r="B103">
        <v>0.79700000000000004</v>
      </c>
      <c r="C103">
        <f t="shared" si="5"/>
        <v>0.45067897501340948</v>
      </c>
      <c r="D103" s="1" t="s">
        <v>17</v>
      </c>
      <c r="E103" s="2" t="s">
        <v>689</v>
      </c>
      <c r="F103" s="3" t="s">
        <v>17</v>
      </c>
      <c r="G103" s="2"/>
      <c r="H103" s="2"/>
      <c r="I103" s="2"/>
      <c r="J103" s="2"/>
      <c r="K103" s="2"/>
      <c r="L103" s="3"/>
      <c r="M103">
        <v>2</v>
      </c>
      <c r="N103" t="s">
        <v>33</v>
      </c>
    </row>
    <row r="104" spans="1:14" x14ac:dyDescent="0.2">
      <c r="A104" t="s">
        <v>647</v>
      </c>
      <c r="B104">
        <v>1.3029999999999999</v>
      </c>
      <c r="C104">
        <f t="shared" si="5"/>
        <v>0.27171542282250544</v>
      </c>
      <c r="D104" s="4" t="s">
        <v>17</v>
      </c>
      <c r="E104" s="5" t="s">
        <v>688</v>
      </c>
      <c r="F104" s="6" t="s">
        <v>17</v>
      </c>
      <c r="G104" s="5"/>
      <c r="H104" s="5"/>
      <c r="I104" s="5"/>
      <c r="J104" s="5"/>
      <c r="K104" s="5"/>
      <c r="L104" s="6"/>
    </row>
    <row r="105" spans="1:14" x14ac:dyDescent="0.2">
      <c r="A105" t="s">
        <v>559</v>
      </c>
      <c r="B105">
        <v>0.16400000000000001</v>
      </c>
      <c r="C105">
        <f t="shared" si="5"/>
        <v>0.84874202188020675</v>
      </c>
      <c r="D105" t="s">
        <v>2</v>
      </c>
      <c r="E105" t="s">
        <v>689</v>
      </c>
      <c r="F105" s="8" t="s">
        <v>17</v>
      </c>
      <c r="M105">
        <v>1</v>
      </c>
      <c r="N105" t="s">
        <v>6</v>
      </c>
    </row>
    <row r="106" spans="1:14" x14ac:dyDescent="0.2">
      <c r="A106" t="s">
        <v>455</v>
      </c>
      <c r="B106">
        <v>0.16400000000000001</v>
      </c>
      <c r="C106">
        <f t="shared" si="5"/>
        <v>0.84874202188020675</v>
      </c>
      <c r="D106" t="s">
        <v>10</v>
      </c>
      <c r="E106" t="s">
        <v>689</v>
      </c>
      <c r="F106" s="8" t="s">
        <v>17</v>
      </c>
      <c r="M106">
        <v>1</v>
      </c>
      <c r="N106" t="s">
        <v>6</v>
      </c>
    </row>
    <row r="107" spans="1:14" x14ac:dyDescent="0.2">
      <c r="A107" t="s">
        <v>527</v>
      </c>
      <c r="B107">
        <v>0.16400000000000001</v>
      </c>
      <c r="C107">
        <f t="shared" si="5"/>
        <v>0.84874202188020675</v>
      </c>
      <c r="D107" t="s">
        <v>22</v>
      </c>
      <c r="E107" t="s">
        <v>689</v>
      </c>
      <c r="F107" s="8" t="s">
        <v>17</v>
      </c>
      <c r="M107">
        <v>1</v>
      </c>
      <c r="N107" t="s">
        <v>6</v>
      </c>
    </row>
    <row r="109" spans="1:14" x14ac:dyDescent="0.2">
      <c r="A109" t="s">
        <v>367</v>
      </c>
      <c r="B109">
        <v>0.16400000000000001</v>
      </c>
      <c r="C109">
        <f>EXP(-B109)</f>
        <v>0.84874202188020675</v>
      </c>
      <c r="D109" s="1" t="s">
        <v>0</v>
      </c>
      <c r="E109" s="2" t="s">
        <v>688</v>
      </c>
      <c r="F109" s="3" t="s">
        <v>23</v>
      </c>
      <c r="G109" s="2" t="s">
        <v>377</v>
      </c>
      <c r="H109" s="2">
        <v>0.16400000000000001</v>
      </c>
      <c r="I109" s="2">
        <f t="shared" ref="I109:I117" si="6">EXP(-H109)</f>
        <v>0.84874202188020675</v>
      </c>
      <c r="J109" s="2" t="s">
        <v>0</v>
      </c>
      <c r="K109" s="2" t="s">
        <v>689</v>
      </c>
      <c r="L109" s="3" t="s">
        <v>12</v>
      </c>
      <c r="M109">
        <v>3</v>
      </c>
      <c r="N109" t="s">
        <v>27</v>
      </c>
    </row>
    <row r="110" spans="1:14" x14ac:dyDescent="0.2">
      <c r="D110" s="4"/>
      <c r="E110" s="5"/>
      <c r="F110" s="6"/>
      <c r="G110" s="5" t="s">
        <v>368</v>
      </c>
      <c r="H110" s="5">
        <v>0.16400000000000001</v>
      </c>
      <c r="I110" s="5">
        <f t="shared" si="6"/>
        <v>0.84874202188020675</v>
      </c>
      <c r="J110" s="5" t="s">
        <v>0</v>
      </c>
      <c r="K110" s="5" t="s">
        <v>688</v>
      </c>
      <c r="L110" s="6" t="s">
        <v>12</v>
      </c>
    </row>
    <row r="111" spans="1:14" x14ac:dyDescent="0.2">
      <c r="D111" s="1"/>
      <c r="E111" s="2"/>
      <c r="F111" s="3"/>
      <c r="G111" s="2" t="s">
        <v>388</v>
      </c>
      <c r="H111" s="2">
        <v>0</v>
      </c>
      <c r="I111" s="2">
        <f t="shared" si="6"/>
        <v>1</v>
      </c>
      <c r="J111" s="2" t="s">
        <v>8</v>
      </c>
      <c r="K111" s="2" t="s">
        <v>689</v>
      </c>
      <c r="L111" s="3" t="s">
        <v>12</v>
      </c>
      <c r="M111">
        <v>2</v>
      </c>
      <c r="N111" s="9" t="s">
        <v>29</v>
      </c>
    </row>
    <row r="112" spans="1:14" x14ac:dyDescent="0.2">
      <c r="D112" s="4"/>
      <c r="E112" s="5"/>
      <c r="F112" s="6"/>
      <c r="G112" s="5" t="s">
        <v>382</v>
      </c>
      <c r="H112" s="5">
        <v>0.74199999999999999</v>
      </c>
      <c r="I112" s="5">
        <f t="shared" si="6"/>
        <v>0.47616064128198943</v>
      </c>
      <c r="J112" s="5" t="s">
        <v>8</v>
      </c>
      <c r="K112" s="5" t="s">
        <v>688</v>
      </c>
      <c r="L112" s="6" t="s">
        <v>12</v>
      </c>
    </row>
    <row r="113" spans="1:14" x14ac:dyDescent="0.2">
      <c r="A113" t="s">
        <v>405</v>
      </c>
      <c r="B113">
        <v>0</v>
      </c>
      <c r="C113">
        <f>EXP(-B113)</f>
        <v>1</v>
      </c>
      <c r="D113" s="1" t="s">
        <v>9</v>
      </c>
      <c r="E113" s="2" t="s">
        <v>689</v>
      </c>
      <c r="F113" s="3" t="s">
        <v>23</v>
      </c>
      <c r="G113" s="2" t="s">
        <v>406</v>
      </c>
      <c r="H113" s="2">
        <v>0</v>
      </c>
      <c r="I113" s="2">
        <f t="shared" si="6"/>
        <v>1</v>
      </c>
      <c r="J113" s="2" t="s">
        <v>9</v>
      </c>
      <c r="K113" s="2" t="s">
        <v>689</v>
      </c>
      <c r="L113" s="3" t="s">
        <v>12</v>
      </c>
      <c r="M113">
        <v>4</v>
      </c>
      <c r="N113" s="9" t="s">
        <v>37</v>
      </c>
    </row>
    <row r="114" spans="1:14" x14ac:dyDescent="0.2">
      <c r="A114" t="s">
        <v>396</v>
      </c>
      <c r="B114">
        <v>0</v>
      </c>
      <c r="C114">
        <f>EXP(-B114)</f>
        <v>1</v>
      </c>
      <c r="D114" s="4" t="s">
        <v>9</v>
      </c>
      <c r="E114" s="5" t="s">
        <v>688</v>
      </c>
      <c r="F114" s="6" t="s">
        <v>23</v>
      </c>
      <c r="G114" s="5" t="s">
        <v>397</v>
      </c>
      <c r="H114" s="5">
        <v>0</v>
      </c>
      <c r="I114" s="5">
        <f t="shared" si="6"/>
        <v>1</v>
      </c>
      <c r="J114" s="5" t="s">
        <v>9</v>
      </c>
      <c r="K114" s="5" t="s">
        <v>688</v>
      </c>
      <c r="L114" s="6" t="s">
        <v>12</v>
      </c>
    </row>
    <row r="115" spans="1:14" x14ac:dyDescent="0.2">
      <c r="A115" t="s">
        <v>423</v>
      </c>
      <c r="B115">
        <v>0</v>
      </c>
      <c r="C115">
        <f>EXP(-B115)</f>
        <v>1</v>
      </c>
      <c r="D115" s="1" t="s">
        <v>24</v>
      </c>
      <c r="E115" s="2" t="s">
        <v>689</v>
      </c>
      <c r="F115" s="3" t="s">
        <v>23</v>
      </c>
      <c r="G115" s="2" t="s">
        <v>425</v>
      </c>
      <c r="H115" s="2">
        <v>0</v>
      </c>
      <c r="I115" s="2">
        <f t="shared" si="6"/>
        <v>1</v>
      </c>
      <c r="J115" s="2" t="s">
        <v>24</v>
      </c>
      <c r="K115" s="2" t="s">
        <v>689</v>
      </c>
      <c r="L115" s="3" t="s">
        <v>12</v>
      </c>
      <c r="M115">
        <v>4</v>
      </c>
      <c r="N115" s="9" t="s">
        <v>37</v>
      </c>
    </row>
    <row r="116" spans="1:14" x14ac:dyDescent="0.2">
      <c r="A116" t="s">
        <v>414</v>
      </c>
      <c r="B116">
        <v>0</v>
      </c>
      <c r="C116">
        <f>EXP(-B116)</f>
        <v>1</v>
      </c>
      <c r="D116" s="4" t="s">
        <v>24</v>
      </c>
      <c r="E116" s="5" t="s">
        <v>688</v>
      </c>
      <c r="F116" s="6" t="s">
        <v>23</v>
      </c>
      <c r="G116" s="5" t="s">
        <v>415</v>
      </c>
      <c r="H116" s="5">
        <v>0</v>
      </c>
      <c r="I116" s="5">
        <f t="shared" si="6"/>
        <v>1</v>
      </c>
      <c r="J116" s="5" t="s">
        <v>24</v>
      </c>
      <c r="K116" s="5" t="s">
        <v>688</v>
      </c>
      <c r="L116" s="6" t="s">
        <v>12</v>
      </c>
    </row>
    <row r="117" spans="1:14" x14ac:dyDescent="0.2">
      <c r="D117" s="1"/>
      <c r="E117" s="2"/>
      <c r="F117" s="3"/>
      <c r="G117" s="2" t="s">
        <v>434</v>
      </c>
      <c r="H117" s="2">
        <v>0.66700000000000004</v>
      </c>
      <c r="I117" s="2">
        <f t="shared" si="6"/>
        <v>0.51324600851291879</v>
      </c>
      <c r="J117" s="2" t="s">
        <v>23</v>
      </c>
      <c r="K117" s="2" t="s">
        <v>689</v>
      </c>
      <c r="L117" s="3" t="s">
        <v>12</v>
      </c>
      <c r="M117">
        <v>2</v>
      </c>
      <c r="N117" t="s">
        <v>691</v>
      </c>
    </row>
    <row r="118" spans="1:14" x14ac:dyDescent="0.2">
      <c r="A118" t="s">
        <v>431</v>
      </c>
      <c r="B118">
        <v>0.66700000000000004</v>
      </c>
      <c r="C118">
        <f>EXP(-B118)</f>
        <v>0.51324600851291879</v>
      </c>
      <c r="D118" s="4" t="s">
        <v>23</v>
      </c>
      <c r="E118" s="5" t="s">
        <v>688</v>
      </c>
      <c r="F118" s="6" t="s">
        <v>23</v>
      </c>
      <c r="G118" s="5"/>
      <c r="H118" s="5"/>
      <c r="I118" s="5"/>
      <c r="J118" s="5"/>
      <c r="K118" s="5"/>
      <c r="L118" s="6"/>
    </row>
    <row r="119" spans="1:14" x14ac:dyDescent="0.2">
      <c r="A119" t="s">
        <v>447</v>
      </c>
      <c r="B119">
        <v>0</v>
      </c>
      <c r="C119">
        <f>EXP(-B119)</f>
        <v>1</v>
      </c>
      <c r="D119" s="1" t="s">
        <v>10</v>
      </c>
      <c r="E119" s="2" t="s">
        <v>689</v>
      </c>
      <c r="F119" s="3" t="s">
        <v>23</v>
      </c>
      <c r="G119" s="2" t="s">
        <v>449</v>
      </c>
      <c r="H119" s="2">
        <v>0</v>
      </c>
      <c r="I119" s="2">
        <f t="shared" ref="I119:I127" si="7">EXP(-H119)</f>
        <v>1</v>
      </c>
      <c r="J119" s="2" t="s">
        <v>10</v>
      </c>
      <c r="K119" s="2" t="s">
        <v>689</v>
      </c>
      <c r="L119" s="3" t="s">
        <v>12</v>
      </c>
      <c r="M119">
        <v>3</v>
      </c>
      <c r="N119" t="s">
        <v>27</v>
      </c>
    </row>
    <row r="120" spans="1:14" x14ac:dyDescent="0.2">
      <c r="D120" s="4"/>
      <c r="E120" s="5"/>
      <c r="F120" s="6"/>
      <c r="G120" s="5" t="s">
        <v>440</v>
      </c>
      <c r="H120" s="5">
        <v>0</v>
      </c>
      <c r="I120" s="5">
        <f t="shared" si="7"/>
        <v>1</v>
      </c>
      <c r="J120" s="5" t="s">
        <v>10</v>
      </c>
      <c r="K120" s="5" t="s">
        <v>688</v>
      </c>
      <c r="L120" s="6" t="s">
        <v>12</v>
      </c>
    </row>
    <row r="121" spans="1:14" x14ac:dyDescent="0.2">
      <c r="D121" s="1"/>
      <c r="E121" s="2"/>
      <c r="F121" s="3"/>
      <c r="G121" s="2" t="s">
        <v>463</v>
      </c>
      <c r="H121" s="2">
        <v>0.79100000000000004</v>
      </c>
      <c r="I121" s="2">
        <f t="shared" si="7"/>
        <v>0.4533911773338492</v>
      </c>
      <c r="J121" s="2" t="s">
        <v>11</v>
      </c>
      <c r="K121" s="2" t="s">
        <v>689</v>
      </c>
      <c r="L121" s="3" t="s">
        <v>12</v>
      </c>
      <c r="M121">
        <v>3</v>
      </c>
      <c r="N121" s="9" t="s">
        <v>28</v>
      </c>
    </row>
    <row r="122" spans="1:14" x14ac:dyDescent="0.2">
      <c r="A122" t="s">
        <v>459</v>
      </c>
      <c r="B122">
        <v>0.79100000000000004</v>
      </c>
      <c r="C122">
        <f>EXP(-B122)</f>
        <v>0.4533911773338492</v>
      </c>
      <c r="D122" s="4" t="s">
        <v>11</v>
      </c>
      <c r="E122" s="5" t="s">
        <v>688</v>
      </c>
      <c r="F122" s="6" t="s">
        <v>23</v>
      </c>
      <c r="G122" s="5" t="s">
        <v>460</v>
      </c>
      <c r="H122" s="5">
        <v>0.79100000000000004</v>
      </c>
      <c r="I122" s="5">
        <f t="shared" si="7"/>
        <v>0.4533911773338492</v>
      </c>
      <c r="J122" s="5" t="s">
        <v>11</v>
      </c>
      <c r="K122" s="5" t="s">
        <v>688</v>
      </c>
      <c r="L122" s="6" t="s">
        <v>12</v>
      </c>
    </row>
    <row r="123" spans="1:14" x14ac:dyDescent="0.2">
      <c r="G123" t="s">
        <v>471</v>
      </c>
      <c r="H123">
        <v>0</v>
      </c>
      <c r="I123">
        <f t="shared" si="7"/>
        <v>1</v>
      </c>
      <c r="J123" t="s">
        <v>12</v>
      </c>
      <c r="K123" t="s">
        <v>688</v>
      </c>
      <c r="L123" t="s">
        <v>12</v>
      </c>
      <c r="M123">
        <v>1</v>
      </c>
      <c r="N123" t="s">
        <v>4</v>
      </c>
    </row>
    <row r="124" spans="1:14" x14ac:dyDescent="0.2">
      <c r="A124" t="s">
        <v>500</v>
      </c>
      <c r="B124">
        <v>0</v>
      </c>
      <c r="C124">
        <f>EXP(-B124)</f>
        <v>1</v>
      </c>
      <c r="D124" s="1" t="s">
        <v>5</v>
      </c>
      <c r="E124" s="2" t="s">
        <v>689</v>
      </c>
      <c r="F124" s="3" t="s">
        <v>23</v>
      </c>
      <c r="G124" s="2" t="s">
        <v>502</v>
      </c>
      <c r="H124" s="2">
        <v>0</v>
      </c>
      <c r="I124" s="2">
        <f t="shared" si="7"/>
        <v>1</v>
      </c>
      <c r="J124" s="2" t="s">
        <v>5</v>
      </c>
      <c r="K124" s="2" t="s">
        <v>689</v>
      </c>
      <c r="L124" s="3" t="s">
        <v>12</v>
      </c>
      <c r="M124">
        <v>3</v>
      </c>
      <c r="N124" t="s">
        <v>27</v>
      </c>
    </row>
    <row r="125" spans="1:14" x14ac:dyDescent="0.2">
      <c r="D125" s="4"/>
      <c r="E125" s="5"/>
      <c r="F125" s="6"/>
      <c r="G125" s="5" t="s">
        <v>489</v>
      </c>
      <c r="H125" s="5">
        <v>0</v>
      </c>
      <c r="I125" s="5">
        <f t="shared" si="7"/>
        <v>1</v>
      </c>
      <c r="J125" s="5" t="s">
        <v>5</v>
      </c>
      <c r="K125" s="5" t="s">
        <v>688</v>
      </c>
      <c r="L125" s="6" t="s">
        <v>12</v>
      </c>
    </row>
    <row r="126" spans="1:14" x14ac:dyDescent="0.2">
      <c r="D126" s="1"/>
      <c r="E126" s="2"/>
      <c r="F126" s="3"/>
      <c r="G126" s="2" t="s">
        <v>523</v>
      </c>
      <c r="H126" s="2">
        <v>0</v>
      </c>
      <c r="I126" s="2">
        <f t="shared" si="7"/>
        <v>1</v>
      </c>
      <c r="J126" s="2" t="s">
        <v>22</v>
      </c>
      <c r="K126" s="2" t="s">
        <v>689</v>
      </c>
      <c r="L126" s="3" t="s">
        <v>12</v>
      </c>
      <c r="M126">
        <v>3</v>
      </c>
      <c r="N126" s="9" t="s">
        <v>28</v>
      </c>
    </row>
    <row r="127" spans="1:14" x14ac:dyDescent="0.2">
      <c r="A127" t="s">
        <v>513</v>
      </c>
      <c r="B127">
        <v>0</v>
      </c>
      <c r="C127">
        <f>EXP(-B127)</f>
        <v>1</v>
      </c>
      <c r="D127" s="4" t="s">
        <v>22</v>
      </c>
      <c r="E127" s="5" t="s">
        <v>688</v>
      </c>
      <c r="F127" s="6" t="s">
        <v>23</v>
      </c>
      <c r="G127" s="5" t="s">
        <v>515</v>
      </c>
      <c r="H127" s="5">
        <v>0</v>
      </c>
      <c r="I127" s="5">
        <f t="shared" si="7"/>
        <v>1</v>
      </c>
      <c r="J127" s="5" t="s">
        <v>22</v>
      </c>
      <c r="K127" s="5" t="s">
        <v>688</v>
      </c>
      <c r="L127" s="6" t="s">
        <v>12</v>
      </c>
    </row>
    <row r="128" spans="1:14" x14ac:dyDescent="0.2">
      <c r="D128" s="1"/>
      <c r="E128" s="2"/>
      <c r="F128" s="3"/>
      <c r="G128" s="2"/>
      <c r="H128" s="2"/>
      <c r="I128" s="2"/>
      <c r="J128" s="2"/>
      <c r="K128" s="2"/>
      <c r="L128" s="3"/>
    </row>
    <row r="129" spans="1:14" x14ac:dyDescent="0.2">
      <c r="A129" t="s">
        <v>531</v>
      </c>
      <c r="B129">
        <v>0</v>
      </c>
      <c r="C129">
        <f t="shared" ref="C129:C135" si="8">EXP(-B129)</f>
        <v>1</v>
      </c>
      <c r="D129" s="4" t="s">
        <v>13</v>
      </c>
      <c r="E129" s="5" t="s">
        <v>688</v>
      </c>
      <c r="F129" s="6" t="s">
        <v>23</v>
      </c>
      <c r="G129" s="5" t="s">
        <v>532</v>
      </c>
      <c r="H129" s="5">
        <v>0</v>
      </c>
      <c r="I129" s="5">
        <f t="shared" ref="I129:I140" si="9">EXP(-H129)</f>
        <v>1</v>
      </c>
      <c r="J129" s="5" t="s">
        <v>13</v>
      </c>
      <c r="K129" s="5" t="s">
        <v>688</v>
      </c>
      <c r="L129" s="6" t="s">
        <v>12</v>
      </c>
      <c r="M129">
        <v>2</v>
      </c>
      <c r="N129" t="s">
        <v>32</v>
      </c>
    </row>
    <row r="130" spans="1:14" x14ac:dyDescent="0.2">
      <c r="A130" t="s">
        <v>553</v>
      </c>
      <c r="B130">
        <v>0</v>
      </c>
      <c r="C130">
        <f t="shared" si="8"/>
        <v>1</v>
      </c>
      <c r="D130" s="1" t="s">
        <v>2</v>
      </c>
      <c r="E130" s="2" t="s">
        <v>689</v>
      </c>
      <c r="F130" s="3" t="s">
        <v>23</v>
      </c>
      <c r="G130" s="2" t="s">
        <v>554</v>
      </c>
      <c r="H130" s="2">
        <v>0</v>
      </c>
      <c r="I130" s="2">
        <f t="shared" si="9"/>
        <v>1</v>
      </c>
      <c r="J130" s="2" t="s">
        <v>2</v>
      </c>
      <c r="K130" s="2" t="s">
        <v>689</v>
      </c>
      <c r="L130" s="3" t="s">
        <v>12</v>
      </c>
      <c r="M130">
        <v>4</v>
      </c>
      <c r="N130" s="9" t="s">
        <v>37</v>
      </c>
    </row>
    <row r="131" spans="1:14" x14ac:dyDescent="0.2">
      <c r="A131" t="s">
        <v>545</v>
      </c>
      <c r="B131">
        <v>0</v>
      </c>
      <c r="C131">
        <f t="shared" si="8"/>
        <v>1</v>
      </c>
      <c r="D131" s="4" t="s">
        <v>2</v>
      </c>
      <c r="E131" s="5" t="s">
        <v>688</v>
      </c>
      <c r="F131" s="6" t="s">
        <v>23</v>
      </c>
      <c r="G131" s="5" t="s">
        <v>546</v>
      </c>
      <c r="H131" s="5">
        <v>0</v>
      </c>
      <c r="I131" s="5">
        <f t="shared" si="9"/>
        <v>1</v>
      </c>
      <c r="J131" s="5" t="s">
        <v>2</v>
      </c>
      <c r="K131" s="5" t="s">
        <v>688</v>
      </c>
      <c r="L131" s="6" t="s">
        <v>12</v>
      </c>
    </row>
    <row r="132" spans="1:14" x14ac:dyDescent="0.2">
      <c r="A132" t="s">
        <v>578</v>
      </c>
      <c r="B132">
        <v>0</v>
      </c>
      <c r="C132">
        <f t="shared" si="8"/>
        <v>1</v>
      </c>
      <c r="D132" s="1" t="s">
        <v>14</v>
      </c>
      <c r="E132" s="2" t="s">
        <v>689</v>
      </c>
      <c r="F132" s="3" t="s">
        <v>23</v>
      </c>
      <c r="G132" s="2" t="s">
        <v>580</v>
      </c>
      <c r="H132" s="2">
        <v>0</v>
      </c>
      <c r="I132" s="2">
        <f t="shared" si="9"/>
        <v>1</v>
      </c>
      <c r="J132" s="2" t="s">
        <v>14</v>
      </c>
      <c r="K132" s="2" t="s">
        <v>689</v>
      </c>
      <c r="L132" s="3" t="s">
        <v>12</v>
      </c>
      <c r="M132">
        <v>4</v>
      </c>
      <c r="N132" s="9" t="s">
        <v>37</v>
      </c>
    </row>
    <row r="133" spans="1:14" x14ac:dyDescent="0.2">
      <c r="A133" t="s">
        <v>565</v>
      </c>
      <c r="B133">
        <v>0</v>
      </c>
      <c r="C133">
        <f t="shared" si="8"/>
        <v>1</v>
      </c>
      <c r="D133" s="4" t="s">
        <v>14</v>
      </c>
      <c r="E133" s="5" t="s">
        <v>688</v>
      </c>
      <c r="F133" s="6" t="s">
        <v>23</v>
      </c>
      <c r="G133" s="5" t="s">
        <v>567</v>
      </c>
      <c r="H133" s="5">
        <v>0</v>
      </c>
      <c r="I133" s="5">
        <f t="shared" si="9"/>
        <v>1</v>
      </c>
      <c r="J133" s="5" t="s">
        <v>14</v>
      </c>
      <c r="K133" s="5" t="s">
        <v>688</v>
      </c>
      <c r="L133" s="6" t="s">
        <v>12</v>
      </c>
    </row>
    <row r="134" spans="1:14" x14ac:dyDescent="0.2">
      <c r="A134" t="s">
        <v>599</v>
      </c>
      <c r="B134">
        <v>0</v>
      </c>
      <c r="C134">
        <f t="shared" si="8"/>
        <v>1</v>
      </c>
      <c r="D134" s="1" t="s">
        <v>1</v>
      </c>
      <c r="E134" s="2" t="s">
        <v>689</v>
      </c>
      <c r="F134" s="3" t="s">
        <v>23</v>
      </c>
      <c r="G134" s="2" t="s">
        <v>601</v>
      </c>
      <c r="H134" s="2">
        <v>0</v>
      </c>
      <c r="I134" s="2">
        <f t="shared" si="9"/>
        <v>1</v>
      </c>
      <c r="J134" s="2" t="s">
        <v>1</v>
      </c>
      <c r="K134" s="2" t="s">
        <v>689</v>
      </c>
      <c r="L134" s="3" t="s">
        <v>12</v>
      </c>
      <c r="M134">
        <v>4</v>
      </c>
      <c r="N134" s="9" t="s">
        <v>37</v>
      </c>
    </row>
    <row r="135" spans="1:14" x14ac:dyDescent="0.2">
      <c r="A135" t="s">
        <v>588</v>
      </c>
      <c r="B135">
        <v>0</v>
      </c>
      <c r="C135">
        <f t="shared" si="8"/>
        <v>1</v>
      </c>
      <c r="D135" s="4" t="s">
        <v>1</v>
      </c>
      <c r="E135" s="5" t="s">
        <v>688</v>
      </c>
      <c r="F135" s="6" t="s">
        <v>23</v>
      </c>
      <c r="G135" s="5" t="s">
        <v>589</v>
      </c>
      <c r="H135" s="5">
        <v>0</v>
      </c>
      <c r="I135" s="5">
        <f t="shared" si="9"/>
        <v>1</v>
      </c>
      <c r="J135" s="5" t="s">
        <v>1</v>
      </c>
      <c r="K135" s="5" t="s">
        <v>688</v>
      </c>
      <c r="L135" s="6" t="s">
        <v>12</v>
      </c>
    </row>
    <row r="136" spans="1:14" x14ac:dyDescent="0.2">
      <c r="D136" s="1"/>
      <c r="E136" s="2"/>
      <c r="F136" s="3"/>
      <c r="G136" s="2" t="s">
        <v>613</v>
      </c>
      <c r="H136" s="2">
        <v>0</v>
      </c>
      <c r="I136" s="2">
        <f t="shared" si="9"/>
        <v>1</v>
      </c>
      <c r="J136" s="2" t="s">
        <v>15</v>
      </c>
      <c r="K136" s="2" t="s">
        <v>689</v>
      </c>
      <c r="L136" s="3" t="s">
        <v>12</v>
      </c>
      <c r="M136">
        <v>2</v>
      </c>
      <c r="N136" s="9" t="s">
        <v>29</v>
      </c>
    </row>
    <row r="137" spans="1:14" x14ac:dyDescent="0.2">
      <c r="D137" s="4"/>
      <c r="E137" s="5"/>
      <c r="F137" s="6"/>
      <c r="G137" s="5" t="s">
        <v>608</v>
      </c>
      <c r="H137" s="5">
        <v>0.74199999999999999</v>
      </c>
      <c r="I137" s="5">
        <f t="shared" si="9"/>
        <v>0.47616064128198943</v>
      </c>
      <c r="J137" s="5" t="s">
        <v>15</v>
      </c>
      <c r="K137" s="5" t="s">
        <v>688</v>
      </c>
      <c r="L137" s="6" t="s">
        <v>12</v>
      </c>
    </row>
    <row r="138" spans="1:14" x14ac:dyDescent="0.2">
      <c r="A138" t="s">
        <v>631</v>
      </c>
      <c r="B138">
        <v>0</v>
      </c>
      <c r="C138">
        <f>EXP(-B138)</f>
        <v>1</v>
      </c>
      <c r="D138" s="1" t="s">
        <v>16</v>
      </c>
      <c r="E138" s="2" t="s">
        <v>689</v>
      </c>
      <c r="F138" s="3" t="s">
        <v>23</v>
      </c>
      <c r="G138" s="2" t="s">
        <v>632</v>
      </c>
      <c r="H138" s="2">
        <v>0</v>
      </c>
      <c r="I138" s="2">
        <f t="shared" si="9"/>
        <v>1</v>
      </c>
      <c r="J138" s="2" t="s">
        <v>16</v>
      </c>
      <c r="K138" s="2" t="s">
        <v>689</v>
      </c>
      <c r="L138" s="3" t="s">
        <v>12</v>
      </c>
      <c r="M138">
        <v>4</v>
      </c>
      <c r="N138" s="9" t="s">
        <v>37</v>
      </c>
    </row>
    <row r="139" spans="1:14" x14ac:dyDescent="0.2">
      <c r="A139" t="s">
        <v>622</v>
      </c>
      <c r="B139">
        <v>0</v>
      </c>
      <c r="C139">
        <f>EXP(-B139)</f>
        <v>1</v>
      </c>
      <c r="D139" s="4" t="s">
        <v>16</v>
      </c>
      <c r="E139" s="5" t="s">
        <v>688</v>
      </c>
      <c r="F139" s="6" t="s">
        <v>23</v>
      </c>
      <c r="G139" s="5" t="s">
        <v>623</v>
      </c>
      <c r="H139" s="5">
        <v>0</v>
      </c>
      <c r="I139" s="5">
        <f t="shared" si="9"/>
        <v>1</v>
      </c>
      <c r="J139" s="5" t="s">
        <v>16</v>
      </c>
      <c r="K139" s="5" t="s">
        <v>688</v>
      </c>
      <c r="L139" s="6" t="s">
        <v>12</v>
      </c>
    </row>
    <row r="140" spans="1:14" x14ac:dyDescent="0.2">
      <c r="G140" t="s">
        <v>638</v>
      </c>
      <c r="H140">
        <v>1.2729999999999999</v>
      </c>
      <c r="I140">
        <f t="shared" si="9"/>
        <v>0.27999038939254761</v>
      </c>
      <c r="J140" t="s">
        <v>25</v>
      </c>
      <c r="K140" t="s">
        <v>688</v>
      </c>
      <c r="L140" t="s">
        <v>12</v>
      </c>
      <c r="M140">
        <v>1</v>
      </c>
      <c r="N140" t="s">
        <v>4</v>
      </c>
    </row>
    <row r="141" spans="1:14" x14ac:dyDescent="0.2">
      <c r="A141" t="s">
        <v>649</v>
      </c>
      <c r="B141">
        <v>0.63300000000000001</v>
      </c>
      <c r="C141">
        <f>EXP(-B141)</f>
        <v>0.53099641987211432</v>
      </c>
      <c r="D141" s="1" t="s">
        <v>17</v>
      </c>
      <c r="E141" s="2" t="s">
        <v>689</v>
      </c>
      <c r="F141" s="3" t="s">
        <v>23</v>
      </c>
      <c r="G141" s="2"/>
      <c r="H141" s="2"/>
      <c r="I141" s="2"/>
      <c r="J141" s="2"/>
      <c r="K141" s="2"/>
      <c r="L141" s="3"/>
      <c r="M141">
        <v>3</v>
      </c>
      <c r="N141" s="9" t="s">
        <v>30</v>
      </c>
    </row>
    <row r="142" spans="1:14" x14ac:dyDescent="0.2">
      <c r="A142" t="s">
        <v>642</v>
      </c>
      <c r="B142">
        <v>0.63300000000000001</v>
      </c>
      <c r="C142">
        <f>EXP(-B142)</f>
        <v>0.53099641987211432</v>
      </c>
      <c r="D142" s="4" t="s">
        <v>17</v>
      </c>
      <c r="E142" s="5" t="s">
        <v>688</v>
      </c>
      <c r="F142" s="6" t="s">
        <v>23</v>
      </c>
      <c r="G142" s="5" t="s">
        <v>643</v>
      </c>
      <c r="H142" s="5">
        <v>0.63300000000000001</v>
      </c>
      <c r="I142" s="5">
        <f t="shared" ref="I142:I151" si="10">EXP(-H142)</f>
        <v>0.53099641987211432</v>
      </c>
      <c r="J142" s="5" t="s">
        <v>17</v>
      </c>
      <c r="K142" s="5" t="s">
        <v>688</v>
      </c>
      <c r="L142" s="6" t="s">
        <v>12</v>
      </c>
    </row>
    <row r="143" spans="1:14" x14ac:dyDescent="0.2">
      <c r="D143" s="1"/>
      <c r="E143" s="2"/>
      <c r="F143" s="3"/>
      <c r="G143" s="2" t="s">
        <v>670</v>
      </c>
      <c r="H143" s="2">
        <v>0</v>
      </c>
      <c r="I143" s="2">
        <f t="shared" si="10"/>
        <v>1</v>
      </c>
      <c r="J143" s="2" t="s">
        <v>18</v>
      </c>
      <c r="K143" s="2" t="s">
        <v>689</v>
      </c>
      <c r="L143" s="3" t="s">
        <v>12</v>
      </c>
      <c r="M143">
        <v>3</v>
      </c>
      <c r="N143" s="9" t="s">
        <v>28</v>
      </c>
    </row>
    <row r="144" spans="1:14" x14ac:dyDescent="0.2">
      <c r="A144" t="s">
        <v>658</v>
      </c>
      <c r="B144">
        <v>0</v>
      </c>
      <c r="C144">
        <f>EXP(-B144)</f>
        <v>1</v>
      </c>
      <c r="D144" s="4" t="s">
        <v>18</v>
      </c>
      <c r="E144" s="5" t="s">
        <v>688</v>
      </c>
      <c r="F144" s="6" t="s">
        <v>23</v>
      </c>
      <c r="G144" s="5" t="s">
        <v>659</v>
      </c>
      <c r="H144" s="5">
        <v>0</v>
      </c>
      <c r="I144" s="5">
        <f t="shared" si="10"/>
        <v>1</v>
      </c>
      <c r="J144" s="5" t="s">
        <v>18</v>
      </c>
      <c r="K144" s="5" t="s">
        <v>688</v>
      </c>
      <c r="L144" s="6" t="s">
        <v>12</v>
      </c>
    </row>
    <row r="145" spans="1:14" x14ac:dyDescent="0.2">
      <c r="A145" t="s">
        <v>685</v>
      </c>
      <c r="B145">
        <v>0.46899999999999997</v>
      </c>
      <c r="C145">
        <f>EXP(-B145)</f>
        <v>0.62562758315631073</v>
      </c>
      <c r="D145" s="1" t="s">
        <v>20</v>
      </c>
      <c r="E145" s="2" t="s">
        <v>689</v>
      </c>
      <c r="F145" s="3" t="s">
        <v>23</v>
      </c>
      <c r="G145" s="2" t="s">
        <v>686</v>
      </c>
      <c r="H145" s="2">
        <v>0.46899999999999997</v>
      </c>
      <c r="I145" s="2">
        <f t="shared" si="10"/>
        <v>0.62562758315631073</v>
      </c>
      <c r="J145" s="2" t="s">
        <v>20</v>
      </c>
      <c r="K145" s="2" t="s">
        <v>689</v>
      </c>
      <c r="L145" s="3" t="s">
        <v>12</v>
      </c>
      <c r="M145">
        <v>4</v>
      </c>
      <c r="N145" s="9" t="s">
        <v>37</v>
      </c>
    </row>
    <row r="146" spans="1:14" x14ac:dyDescent="0.2">
      <c r="A146" t="s">
        <v>680</v>
      </c>
      <c r="B146">
        <v>0.46899999999999997</v>
      </c>
      <c r="C146">
        <f>EXP(-B146)</f>
        <v>0.62562758315631073</v>
      </c>
      <c r="D146" s="4" t="s">
        <v>20</v>
      </c>
      <c r="E146" s="5" t="s">
        <v>688</v>
      </c>
      <c r="F146" s="6" t="s">
        <v>23</v>
      </c>
      <c r="G146" s="5" t="s">
        <v>681</v>
      </c>
      <c r="H146" s="5">
        <v>0.46899999999999997</v>
      </c>
      <c r="I146" s="5">
        <f t="shared" si="10"/>
        <v>0.62562758315631073</v>
      </c>
      <c r="J146" s="5" t="s">
        <v>20</v>
      </c>
      <c r="K146" s="5" t="s">
        <v>688</v>
      </c>
      <c r="L146" s="6" t="s">
        <v>12</v>
      </c>
    </row>
    <row r="147" spans="1:14" x14ac:dyDescent="0.2">
      <c r="D147" s="1"/>
      <c r="E147" s="2"/>
      <c r="F147" s="3"/>
      <c r="G147" s="2" t="s">
        <v>374</v>
      </c>
      <c r="H147" s="2">
        <v>0.16400000000000001</v>
      </c>
      <c r="I147" s="2">
        <f t="shared" si="10"/>
        <v>0.84874202188020675</v>
      </c>
      <c r="J147" s="2" t="s">
        <v>0</v>
      </c>
      <c r="K147" s="2" t="s">
        <v>689</v>
      </c>
      <c r="L147" s="3" t="s">
        <v>8</v>
      </c>
      <c r="M147">
        <v>2</v>
      </c>
      <c r="N147" s="9" t="s">
        <v>29</v>
      </c>
    </row>
    <row r="148" spans="1:14" x14ac:dyDescent="0.2">
      <c r="D148" s="4"/>
      <c r="E148" s="5"/>
      <c r="F148" s="6"/>
      <c r="G148" s="5" t="s">
        <v>364</v>
      </c>
      <c r="H148" s="5">
        <v>0.16400000000000001</v>
      </c>
      <c r="I148" s="5">
        <f t="shared" si="10"/>
        <v>0.84874202188020675</v>
      </c>
      <c r="J148" s="5" t="s">
        <v>0</v>
      </c>
      <c r="K148" s="5" t="s">
        <v>688</v>
      </c>
      <c r="L148" s="6" t="s">
        <v>8</v>
      </c>
    </row>
    <row r="149" spans="1:14" x14ac:dyDescent="0.2">
      <c r="G149" t="s">
        <v>386</v>
      </c>
      <c r="H149">
        <v>0</v>
      </c>
      <c r="I149">
        <f t="shared" si="10"/>
        <v>1</v>
      </c>
      <c r="J149" t="s">
        <v>8</v>
      </c>
      <c r="K149" t="s">
        <v>689</v>
      </c>
      <c r="L149" t="s">
        <v>8</v>
      </c>
      <c r="M149">
        <v>1</v>
      </c>
      <c r="N149" t="s">
        <v>7</v>
      </c>
    </row>
    <row r="150" spans="1:14" x14ac:dyDescent="0.2">
      <c r="D150" s="1"/>
      <c r="E150" s="2"/>
      <c r="F150" s="3"/>
      <c r="G150" s="2" t="s">
        <v>403</v>
      </c>
      <c r="H150" s="2">
        <v>0</v>
      </c>
      <c r="I150" s="2">
        <f t="shared" si="10"/>
        <v>1</v>
      </c>
      <c r="J150" s="2" t="s">
        <v>9</v>
      </c>
      <c r="K150" s="2" t="s">
        <v>689</v>
      </c>
      <c r="L150" s="3" t="s">
        <v>8</v>
      </c>
      <c r="M150">
        <v>2</v>
      </c>
      <c r="N150" s="9" t="s">
        <v>29</v>
      </c>
    </row>
    <row r="151" spans="1:14" x14ac:dyDescent="0.2">
      <c r="D151" s="4"/>
      <c r="E151" s="5"/>
      <c r="F151" s="6"/>
      <c r="G151" s="5" t="s">
        <v>393</v>
      </c>
      <c r="H151" s="5">
        <v>0</v>
      </c>
      <c r="I151" s="5">
        <f t="shared" si="10"/>
        <v>1</v>
      </c>
      <c r="J151" s="5" t="s">
        <v>9</v>
      </c>
      <c r="K151" s="5" t="s">
        <v>688</v>
      </c>
      <c r="L151" s="6" t="s">
        <v>8</v>
      </c>
    </row>
    <row r="152" spans="1:14" x14ac:dyDescent="0.2">
      <c r="A152" t="s">
        <v>424</v>
      </c>
      <c r="B152">
        <v>0.79100000000000004</v>
      </c>
      <c r="C152">
        <f>EXP(-B152)</f>
        <v>0.4533911773338492</v>
      </c>
      <c r="D152" s="1" t="s">
        <v>24</v>
      </c>
      <c r="E152" s="2" t="s">
        <v>689</v>
      </c>
      <c r="F152" s="3" t="s">
        <v>11</v>
      </c>
      <c r="G152" s="2"/>
      <c r="H152" s="2"/>
      <c r="I152" s="2"/>
      <c r="J152" s="2"/>
      <c r="K152" s="2"/>
      <c r="L152" s="3"/>
      <c r="M152">
        <v>2</v>
      </c>
      <c r="N152" t="s">
        <v>21</v>
      </c>
    </row>
    <row r="153" spans="1:14" x14ac:dyDescent="0.2">
      <c r="D153" s="4"/>
      <c r="E153" s="5"/>
      <c r="F153" s="6"/>
      <c r="G153" s="5" t="s">
        <v>413</v>
      </c>
      <c r="H153" s="5">
        <v>0</v>
      </c>
      <c r="I153" s="5">
        <f>EXP(-H153)</f>
        <v>1</v>
      </c>
      <c r="J153" s="5" t="s">
        <v>24</v>
      </c>
      <c r="K153" s="5" t="s">
        <v>688</v>
      </c>
      <c r="L153" s="6" t="s">
        <v>8</v>
      </c>
    </row>
    <row r="154" spans="1:14" x14ac:dyDescent="0.2">
      <c r="A154" t="s">
        <v>448</v>
      </c>
      <c r="B154">
        <v>0.79100000000000004</v>
      </c>
      <c r="C154">
        <f>EXP(-B154)</f>
        <v>0.4533911773338492</v>
      </c>
      <c r="D154" s="1" t="s">
        <v>10</v>
      </c>
      <c r="E154" s="2" t="s">
        <v>689</v>
      </c>
      <c r="F154" s="3" t="s">
        <v>11</v>
      </c>
      <c r="J154" s="2"/>
      <c r="K154" s="2"/>
      <c r="L154" s="3"/>
      <c r="M154">
        <v>2</v>
      </c>
      <c r="N154" t="s">
        <v>21</v>
      </c>
    </row>
    <row r="155" spans="1:14" x14ac:dyDescent="0.2">
      <c r="D155" s="7"/>
      <c r="G155" s="2" t="s">
        <v>438</v>
      </c>
      <c r="H155" s="2">
        <v>0</v>
      </c>
      <c r="I155" s="2">
        <f t="shared" ref="I155:I167" si="11">EXP(-H155)</f>
        <v>1</v>
      </c>
      <c r="J155" t="s">
        <v>10</v>
      </c>
      <c r="K155" t="s">
        <v>688</v>
      </c>
      <c r="L155" s="8" t="s">
        <v>8</v>
      </c>
    </row>
    <row r="156" spans="1:14" x14ac:dyDescent="0.2">
      <c r="D156" s="1"/>
      <c r="E156" s="2"/>
      <c r="F156" s="3"/>
      <c r="G156" s="2" t="s">
        <v>476</v>
      </c>
      <c r="H156" s="2">
        <v>0</v>
      </c>
      <c r="I156" s="2">
        <f t="shared" si="11"/>
        <v>1</v>
      </c>
      <c r="J156" s="2" t="s">
        <v>12</v>
      </c>
      <c r="K156" s="2" t="s">
        <v>689</v>
      </c>
      <c r="L156" s="3" t="s">
        <v>8</v>
      </c>
      <c r="M156">
        <v>2</v>
      </c>
      <c r="N156" s="9" t="s">
        <v>29</v>
      </c>
    </row>
    <row r="157" spans="1:14" x14ac:dyDescent="0.2">
      <c r="D157" s="4"/>
      <c r="E157" s="5"/>
      <c r="F157" s="6"/>
      <c r="G157" s="5" t="s">
        <v>468</v>
      </c>
      <c r="H157" s="5">
        <v>0</v>
      </c>
      <c r="I157" s="5">
        <f t="shared" si="11"/>
        <v>1</v>
      </c>
      <c r="J157" s="5" t="s">
        <v>12</v>
      </c>
      <c r="K157" s="5" t="s">
        <v>688</v>
      </c>
      <c r="L157" s="6" t="s">
        <v>8</v>
      </c>
    </row>
    <row r="158" spans="1:14" x14ac:dyDescent="0.2">
      <c r="A158" t="s">
        <v>501</v>
      </c>
      <c r="B158">
        <v>0.79100000000000004</v>
      </c>
      <c r="C158">
        <f>EXP(-B158)</f>
        <v>0.4533911773338492</v>
      </c>
      <c r="D158" s="1" t="s">
        <v>5</v>
      </c>
      <c r="E158" s="2" t="s">
        <v>689</v>
      </c>
      <c r="F158" s="3" t="s">
        <v>11</v>
      </c>
      <c r="G158" s="2" t="s">
        <v>497</v>
      </c>
      <c r="H158" s="2">
        <v>0</v>
      </c>
      <c r="I158" s="2">
        <f t="shared" si="11"/>
        <v>1</v>
      </c>
      <c r="J158" s="2" t="s">
        <v>5</v>
      </c>
      <c r="K158" s="2" t="s">
        <v>689</v>
      </c>
      <c r="L158" s="3" t="s">
        <v>8</v>
      </c>
      <c r="M158">
        <v>3</v>
      </c>
      <c r="N158" t="s">
        <v>27</v>
      </c>
    </row>
    <row r="159" spans="1:14" x14ac:dyDescent="0.2">
      <c r="D159" s="4"/>
      <c r="E159" s="5"/>
      <c r="F159" s="6"/>
      <c r="G159" s="5" t="s">
        <v>486</v>
      </c>
      <c r="H159" s="5">
        <v>0</v>
      </c>
      <c r="I159" s="5">
        <f t="shared" si="11"/>
        <v>1</v>
      </c>
      <c r="J159" s="5" t="s">
        <v>5</v>
      </c>
      <c r="K159" s="5" t="s">
        <v>688</v>
      </c>
      <c r="L159" s="6" t="s">
        <v>8</v>
      </c>
    </row>
    <row r="160" spans="1:14" x14ac:dyDescent="0.2">
      <c r="D160" s="1"/>
      <c r="E160" s="2"/>
      <c r="F160" s="3"/>
      <c r="G160" s="2" t="s">
        <v>521</v>
      </c>
      <c r="H160" s="2">
        <v>0</v>
      </c>
      <c r="I160" s="2">
        <f t="shared" si="11"/>
        <v>1</v>
      </c>
      <c r="J160" s="2" t="s">
        <v>22</v>
      </c>
      <c r="K160" s="2" t="s">
        <v>689</v>
      </c>
      <c r="L160" s="3" t="s">
        <v>8</v>
      </c>
      <c r="M160">
        <v>3</v>
      </c>
      <c r="N160" s="9" t="s">
        <v>28</v>
      </c>
    </row>
    <row r="161" spans="1:14" x14ac:dyDescent="0.2">
      <c r="A161" t="s">
        <v>514</v>
      </c>
      <c r="B161">
        <v>1.5780000000000001</v>
      </c>
      <c r="C161">
        <f>EXP(-B161)</f>
        <v>0.20638746062626045</v>
      </c>
      <c r="D161" s="4" t="s">
        <v>22</v>
      </c>
      <c r="E161" s="5" t="s">
        <v>688</v>
      </c>
      <c r="F161" s="6" t="s">
        <v>11</v>
      </c>
      <c r="G161" s="5" t="s">
        <v>511</v>
      </c>
      <c r="H161" s="5">
        <v>0</v>
      </c>
      <c r="I161" s="5">
        <f t="shared" si="11"/>
        <v>1</v>
      </c>
      <c r="J161" s="5" t="s">
        <v>22</v>
      </c>
      <c r="K161" s="5" t="s">
        <v>688</v>
      </c>
      <c r="L161" s="6" t="s">
        <v>8</v>
      </c>
    </row>
    <row r="162" spans="1:14" x14ac:dyDescent="0.2">
      <c r="G162" t="s">
        <v>530</v>
      </c>
      <c r="H162">
        <v>0</v>
      </c>
      <c r="I162">
        <f t="shared" si="11"/>
        <v>1</v>
      </c>
      <c r="J162" t="s">
        <v>13</v>
      </c>
      <c r="K162" t="s">
        <v>688</v>
      </c>
      <c r="L162" t="s">
        <v>8</v>
      </c>
      <c r="M162">
        <v>1</v>
      </c>
      <c r="N162" t="s">
        <v>4</v>
      </c>
    </row>
    <row r="163" spans="1:14" x14ac:dyDescent="0.2">
      <c r="D163" s="1"/>
      <c r="E163" s="2"/>
      <c r="F163" s="3"/>
      <c r="G163" s="2" t="s">
        <v>551</v>
      </c>
      <c r="H163" s="2">
        <v>0</v>
      </c>
      <c r="I163" s="2">
        <f t="shared" si="11"/>
        <v>1</v>
      </c>
      <c r="J163" s="2" t="s">
        <v>2</v>
      </c>
      <c r="K163" s="2" t="s">
        <v>689</v>
      </c>
      <c r="L163" s="3" t="s">
        <v>8</v>
      </c>
      <c r="M163">
        <v>2</v>
      </c>
      <c r="N163" s="9" t="s">
        <v>29</v>
      </c>
    </row>
    <row r="164" spans="1:14" x14ac:dyDescent="0.2">
      <c r="D164" s="4"/>
      <c r="E164" s="5"/>
      <c r="F164" s="6"/>
      <c r="G164" s="5" t="s">
        <v>544</v>
      </c>
      <c r="H164" s="5">
        <v>0</v>
      </c>
      <c r="I164" s="5">
        <f t="shared" si="11"/>
        <v>1</v>
      </c>
      <c r="J164" s="5" t="s">
        <v>2</v>
      </c>
      <c r="K164" s="5" t="s">
        <v>688</v>
      </c>
      <c r="L164" s="6" t="s">
        <v>8</v>
      </c>
    </row>
    <row r="165" spans="1:14" x14ac:dyDescent="0.2">
      <c r="A165" t="s">
        <v>579</v>
      </c>
      <c r="B165">
        <v>0.79100000000000004</v>
      </c>
      <c r="C165">
        <f>EXP(-B165)</f>
        <v>0.4533911773338492</v>
      </c>
      <c r="D165" s="1" t="s">
        <v>14</v>
      </c>
      <c r="E165" s="2" t="s">
        <v>689</v>
      </c>
      <c r="F165" s="3" t="s">
        <v>11</v>
      </c>
      <c r="G165" s="2" t="s">
        <v>575</v>
      </c>
      <c r="H165" s="2">
        <v>0</v>
      </c>
      <c r="I165" s="2">
        <f t="shared" si="11"/>
        <v>1</v>
      </c>
      <c r="J165" s="2" t="s">
        <v>14</v>
      </c>
      <c r="K165" s="2" t="s">
        <v>689</v>
      </c>
      <c r="L165" s="3" t="s">
        <v>8</v>
      </c>
      <c r="M165">
        <v>4</v>
      </c>
      <c r="N165" s="9" t="s">
        <v>37</v>
      </c>
    </row>
    <row r="166" spans="1:14" x14ac:dyDescent="0.2">
      <c r="A166" t="s">
        <v>566</v>
      </c>
      <c r="B166">
        <v>1.5780000000000001</v>
      </c>
      <c r="C166">
        <f>EXP(-B166)</f>
        <v>0.20638746062626045</v>
      </c>
      <c r="D166" s="4" t="s">
        <v>14</v>
      </c>
      <c r="E166" s="5" t="s">
        <v>688</v>
      </c>
      <c r="F166" s="6" t="s">
        <v>11</v>
      </c>
      <c r="G166" s="5" t="s">
        <v>562</v>
      </c>
      <c r="H166" s="5">
        <v>0</v>
      </c>
      <c r="I166" s="5">
        <f t="shared" si="11"/>
        <v>1</v>
      </c>
      <c r="J166" s="5" t="s">
        <v>14</v>
      </c>
      <c r="K166" s="5" t="s">
        <v>688</v>
      </c>
      <c r="L166" s="6" t="s">
        <v>8</v>
      </c>
    </row>
    <row r="167" spans="1:14" x14ac:dyDescent="0.2">
      <c r="D167" s="1"/>
      <c r="E167" s="2"/>
      <c r="F167" s="3"/>
      <c r="G167" s="2" t="s">
        <v>628</v>
      </c>
      <c r="H167" s="2">
        <v>0</v>
      </c>
      <c r="I167" s="2">
        <f t="shared" si="11"/>
        <v>1</v>
      </c>
      <c r="J167" s="2" t="s">
        <v>16</v>
      </c>
      <c r="K167" s="2" t="s">
        <v>689</v>
      </c>
      <c r="L167" s="3" t="s">
        <v>8</v>
      </c>
      <c r="M167">
        <v>1</v>
      </c>
      <c r="N167" s="9" t="s">
        <v>7</v>
      </c>
    </row>
    <row r="168" spans="1:14" x14ac:dyDescent="0.2">
      <c r="D168" s="4"/>
      <c r="E168" s="5"/>
      <c r="F168" s="6"/>
      <c r="G168" s="5"/>
      <c r="H168" s="5"/>
      <c r="I168" s="5"/>
      <c r="J168" s="5"/>
      <c r="K168" s="5"/>
      <c r="L168" s="6"/>
    </row>
    <row r="169" spans="1:14" x14ac:dyDescent="0.2">
      <c r="G169" t="s">
        <v>648</v>
      </c>
      <c r="H169">
        <v>0.63300000000000001</v>
      </c>
      <c r="I169">
        <f>EXP(-H169)</f>
        <v>0.53099641987211432</v>
      </c>
      <c r="J169" t="s">
        <v>17</v>
      </c>
      <c r="K169" t="s">
        <v>689</v>
      </c>
      <c r="L169" t="s">
        <v>8</v>
      </c>
      <c r="M169">
        <v>1</v>
      </c>
      <c r="N169" t="s">
        <v>7</v>
      </c>
    </row>
    <row r="170" spans="1:14" x14ac:dyDescent="0.2">
      <c r="A170" t="s">
        <v>669</v>
      </c>
      <c r="B170">
        <v>0.79100000000000004</v>
      </c>
      <c r="C170">
        <f>EXP(-B170)</f>
        <v>0.4533911773338492</v>
      </c>
      <c r="D170" s="1" t="s">
        <v>18</v>
      </c>
      <c r="E170" s="2" t="s">
        <v>689</v>
      </c>
      <c r="F170" s="3" t="s">
        <v>11</v>
      </c>
      <c r="G170" s="2" t="s">
        <v>667</v>
      </c>
      <c r="H170" s="2">
        <v>0</v>
      </c>
      <c r="I170" s="2">
        <f>EXP(-H170)</f>
        <v>1</v>
      </c>
      <c r="J170" s="2" t="s">
        <v>18</v>
      </c>
      <c r="K170" s="2" t="s">
        <v>689</v>
      </c>
      <c r="L170" s="3" t="s">
        <v>8</v>
      </c>
      <c r="M170">
        <v>3</v>
      </c>
      <c r="N170" t="s">
        <v>27</v>
      </c>
    </row>
    <row r="171" spans="1:14" x14ac:dyDescent="0.2">
      <c r="D171" s="4"/>
      <c r="E171" s="5"/>
      <c r="F171" s="6"/>
      <c r="G171" s="5" t="s">
        <v>655</v>
      </c>
      <c r="H171" s="5">
        <v>0</v>
      </c>
      <c r="I171" s="5">
        <f>EXP(-H171)</f>
        <v>1</v>
      </c>
      <c r="J171" s="5" t="s">
        <v>18</v>
      </c>
      <c r="K171" s="5" t="s">
        <v>688</v>
      </c>
      <c r="L171" s="6" t="s">
        <v>8</v>
      </c>
    </row>
    <row r="172" spans="1:14" x14ac:dyDescent="0.2">
      <c r="G172" t="s">
        <v>678</v>
      </c>
      <c r="H172">
        <v>0.46899999999999997</v>
      </c>
      <c r="I172">
        <f>EXP(-H172)</f>
        <v>0.62562758315631073</v>
      </c>
      <c r="J172" t="s">
        <v>20</v>
      </c>
      <c r="K172" t="s">
        <v>688</v>
      </c>
      <c r="L172" t="s">
        <v>8</v>
      </c>
      <c r="M172">
        <v>1</v>
      </c>
      <c r="N172" t="s">
        <v>4</v>
      </c>
    </row>
    <row r="173" spans="1:14" x14ac:dyDescent="0.2">
      <c r="A173" t="s">
        <v>600</v>
      </c>
      <c r="B173">
        <v>0.79100000000000004</v>
      </c>
      <c r="C173">
        <f>EXP(-B173)</f>
        <v>0.4533911773338492</v>
      </c>
      <c r="D173" t="s">
        <v>1</v>
      </c>
      <c r="E173" t="s">
        <v>689</v>
      </c>
      <c r="F173" s="8" t="s">
        <v>11</v>
      </c>
      <c r="M173">
        <v>1</v>
      </c>
      <c r="N173" t="s">
        <v>35</v>
      </c>
    </row>
    <row r="174" spans="1:14" x14ac:dyDescent="0.2">
      <c r="G174" t="s">
        <v>371</v>
      </c>
      <c r="H174">
        <v>0.16400000000000001</v>
      </c>
      <c r="I174">
        <f t="shared" ref="I174:I188" si="12">EXP(-H174)</f>
        <v>0.84874202188020675</v>
      </c>
      <c r="J174" t="s">
        <v>0</v>
      </c>
      <c r="K174" t="s">
        <v>688</v>
      </c>
      <c r="L174" t="s">
        <v>15</v>
      </c>
      <c r="M174">
        <v>1</v>
      </c>
      <c r="N174" t="s">
        <v>4</v>
      </c>
    </row>
    <row r="175" spans="1:14" x14ac:dyDescent="0.2">
      <c r="G175" t="s">
        <v>400</v>
      </c>
      <c r="H175">
        <v>0</v>
      </c>
      <c r="I175">
        <f t="shared" si="12"/>
        <v>1</v>
      </c>
      <c r="J175" t="s">
        <v>9</v>
      </c>
      <c r="K175" t="s">
        <v>688</v>
      </c>
      <c r="L175" t="s">
        <v>15</v>
      </c>
      <c r="M175">
        <v>1</v>
      </c>
      <c r="N175" t="s">
        <v>4</v>
      </c>
    </row>
    <row r="176" spans="1:14" x14ac:dyDescent="0.2">
      <c r="G176" t="s">
        <v>417</v>
      </c>
      <c r="H176">
        <v>0</v>
      </c>
      <c r="I176">
        <f t="shared" si="12"/>
        <v>1</v>
      </c>
      <c r="J176" t="s">
        <v>24</v>
      </c>
      <c r="K176" t="s">
        <v>688</v>
      </c>
      <c r="L176" t="s">
        <v>15</v>
      </c>
      <c r="M176">
        <v>1</v>
      </c>
      <c r="N176" t="s">
        <v>4</v>
      </c>
    </row>
    <row r="177" spans="4:14" x14ac:dyDescent="0.2">
      <c r="G177" t="s">
        <v>452</v>
      </c>
      <c r="H177">
        <v>1.024</v>
      </c>
      <c r="I177">
        <f t="shared" si="12"/>
        <v>0.35915544132940458</v>
      </c>
      <c r="J177" t="s">
        <v>10</v>
      </c>
      <c r="K177" t="s">
        <v>689</v>
      </c>
      <c r="L177" t="s">
        <v>15</v>
      </c>
      <c r="M177">
        <v>1</v>
      </c>
      <c r="N177" t="s">
        <v>7</v>
      </c>
    </row>
    <row r="178" spans="4:14" x14ac:dyDescent="0.2">
      <c r="G178" t="s">
        <v>462</v>
      </c>
      <c r="H178">
        <v>0.79100000000000004</v>
      </c>
      <c r="I178">
        <f t="shared" si="12"/>
        <v>0.4533911773338492</v>
      </c>
      <c r="J178" t="s">
        <v>11</v>
      </c>
      <c r="K178" t="s">
        <v>688</v>
      </c>
      <c r="L178" t="s">
        <v>15</v>
      </c>
      <c r="M178">
        <v>1</v>
      </c>
      <c r="N178" t="s">
        <v>4</v>
      </c>
    </row>
    <row r="179" spans="4:14" x14ac:dyDescent="0.2">
      <c r="D179" s="1"/>
      <c r="E179" s="2"/>
      <c r="F179" s="3"/>
      <c r="G179" s="2" t="s">
        <v>481</v>
      </c>
      <c r="H179" s="2">
        <v>1.024</v>
      </c>
      <c r="I179" s="2">
        <f t="shared" si="12"/>
        <v>0.35915544132940458</v>
      </c>
      <c r="J179" s="2" t="s">
        <v>12</v>
      </c>
      <c r="K179" s="2" t="s">
        <v>689</v>
      </c>
      <c r="L179" s="3" t="s">
        <v>15</v>
      </c>
      <c r="M179">
        <v>2</v>
      </c>
      <c r="N179" t="s">
        <v>29</v>
      </c>
    </row>
    <row r="180" spans="4:14" x14ac:dyDescent="0.2">
      <c r="D180" s="4"/>
      <c r="E180" s="5"/>
      <c r="F180" s="6"/>
      <c r="G180" s="5" t="s">
        <v>474</v>
      </c>
      <c r="H180" s="5">
        <v>0</v>
      </c>
      <c r="I180" s="5">
        <f t="shared" si="12"/>
        <v>1</v>
      </c>
      <c r="J180" s="5" t="s">
        <v>12</v>
      </c>
      <c r="K180" s="5" t="s">
        <v>688</v>
      </c>
      <c r="L180" s="6" t="s">
        <v>15</v>
      </c>
    </row>
    <row r="181" spans="4:14" x14ac:dyDescent="0.2">
      <c r="D181" s="1"/>
      <c r="E181" s="2"/>
      <c r="F181" s="3"/>
      <c r="G181" s="2" t="s">
        <v>505</v>
      </c>
      <c r="H181" s="2">
        <v>1.024</v>
      </c>
      <c r="I181" s="2">
        <f t="shared" si="12"/>
        <v>0.35915544132940458</v>
      </c>
      <c r="J181" s="2" t="s">
        <v>5</v>
      </c>
      <c r="K181" s="2" t="s">
        <v>689</v>
      </c>
      <c r="L181" s="3" t="s">
        <v>15</v>
      </c>
      <c r="M181">
        <v>2</v>
      </c>
      <c r="N181" t="s">
        <v>29</v>
      </c>
    </row>
    <row r="182" spans="4:14" x14ac:dyDescent="0.2">
      <c r="D182" s="4"/>
      <c r="E182" s="5"/>
      <c r="F182" s="6"/>
      <c r="G182" s="5" t="s">
        <v>492</v>
      </c>
      <c r="H182" s="5">
        <v>0</v>
      </c>
      <c r="I182" s="5">
        <f t="shared" si="12"/>
        <v>1</v>
      </c>
      <c r="J182" s="5" t="s">
        <v>5</v>
      </c>
      <c r="K182" s="5" t="s">
        <v>688</v>
      </c>
      <c r="L182" s="6" t="s">
        <v>15</v>
      </c>
    </row>
    <row r="183" spans="4:14" x14ac:dyDescent="0.2">
      <c r="G183" t="s">
        <v>517</v>
      </c>
      <c r="H183">
        <v>0</v>
      </c>
      <c r="I183">
        <f t="shared" si="12"/>
        <v>1</v>
      </c>
      <c r="J183" t="s">
        <v>22</v>
      </c>
      <c r="K183" t="s">
        <v>688</v>
      </c>
      <c r="L183" t="s">
        <v>15</v>
      </c>
      <c r="M183">
        <v>1</v>
      </c>
      <c r="N183" t="s">
        <v>4</v>
      </c>
    </row>
    <row r="184" spans="4:14" x14ac:dyDescent="0.2">
      <c r="G184" t="s">
        <v>570</v>
      </c>
      <c r="H184">
        <v>0</v>
      </c>
      <c r="I184">
        <f t="shared" si="12"/>
        <v>1</v>
      </c>
      <c r="J184" t="s">
        <v>14</v>
      </c>
      <c r="K184" t="s">
        <v>688</v>
      </c>
      <c r="L184" t="s">
        <v>15</v>
      </c>
      <c r="M184">
        <v>1</v>
      </c>
      <c r="N184" t="s">
        <v>4</v>
      </c>
    </row>
    <row r="185" spans="4:14" x14ac:dyDescent="0.2">
      <c r="G185" t="s">
        <v>616</v>
      </c>
      <c r="H185">
        <v>1.024</v>
      </c>
      <c r="I185">
        <f t="shared" si="12"/>
        <v>0.35915544132940458</v>
      </c>
      <c r="J185" t="s">
        <v>15</v>
      </c>
      <c r="K185" t="s">
        <v>689</v>
      </c>
      <c r="L185" t="s">
        <v>15</v>
      </c>
      <c r="M185">
        <v>1</v>
      </c>
      <c r="N185" t="s">
        <v>7</v>
      </c>
    </row>
    <row r="186" spans="4:14" x14ac:dyDescent="0.2">
      <c r="G186" t="s">
        <v>625</v>
      </c>
      <c r="H186">
        <v>0</v>
      </c>
      <c r="I186">
        <f t="shared" si="12"/>
        <v>1</v>
      </c>
      <c r="J186" t="s">
        <v>16</v>
      </c>
      <c r="K186" t="s">
        <v>688</v>
      </c>
      <c r="L186" t="s">
        <v>15</v>
      </c>
      <c r="M186">
        <v>1</v>
      </c>
      <c r="N186" t="s">
        <v>4</v>
      </c>
    </row>
    <row r="187" spans="4:14" x14ac:dyDescent="0.2">
      <c r="G187" t="s">
        <v>645</v>
      </c>
      <c r="H187">
        <v>0.63300000000000001</v>
      </c>
      <c r="I187">
        <f t="shared" si="12"/>
        <v>0.53099641987211432</v>
      </c>
      <c r="J187" t="s">
        <v>17</v>
      </c>
      <c r="K187" t="s">
        <v>688</v>
      </c>
      <c r="L187" t="s">
        <v>15</v>
      </c>
      <c r="M187">
        <v>1</v>
      </c>
      <c r="N187" t="s">
        <v>4</v>
      </c>
    </row>
    <row r="188" spans="4:14" x14ac:dyDescent="0.2">
      <c r="G188" t="s">
        <v>662</v>
      </c>
      <c r="H188">
        <v>0</v>
      </c>
      <c r="I188">
        <f t="shared" si="12"/>
        <v>1</v>
      </c>
      <c r="J188" t="s">
        <v>18</v>
      </c>
      <c r="K188" t="s">
        <v>688</v>
      </c>
      <c r="L188" t="s">
        <v>15</v>
      </c>
      <c r="M188">
        <v>1</v>
      </c>
      <c r="N188" t="s">
        <v>4</v>
      </c>
    </row>
    <row r="190" spans="4:14" x14ac:dyDescent="0.2">
      <c r="G190" t="s">
        <v>401</v>
      </c>
      <c r="H190">
        <v>0</v>
      </c>
      <c r="I190">
        <f t="shared" ref="I190:I205" si="13">EXP(-H190)</f>
        <v>1</v>
      </c>
      <c r="J190" t="s">
        <v>9</v>
      </c>
      <c r="K190" t="s">
        <v>688</v>
      </c>
      <c r="L190" t="s">
        <v>25</v>
      </c>
      <c r="M190">
        <v>1</v>
      </c>
      <c r="N190" t="s">
        <v>4</v>
      </c>
    </row>
    <row r="191" spans="4:14" x14ac:dyDescent="0.2">
      <c r="D191" s="1"/>
      <c r="E191" s="2"/>
      <c r="F191" s="3"/>
      <c r="G191" s="2" t="s">
        <v>427</v>
      </c>
      <c r="H191" s="2">
        <v>0</v>
      </c>
      <c r="I191" s="2">
        <f t="shared" si="13"/>
        <v>1</v>
      </c>
      <c r="J191" s="2" t="s">
        <v>24</v>
      </c>
      <c r="K191" s="2" t="s">
        <v>689</v>
      </c>
      <c r="L191" s="3" t="s">
        <v>25</v>
      </c>
      <c r="M191">
        <v>2</v>
      </c>
      <c r="N191" t="s">
        <v>29</v>
      </c>
    </row>
    <row r="192" spans="4:14" x14ac:dyDescent="0.2">
      <c r="D192" s="4"/>
      <c r="E192" s="5"/>
      <c r="F192" s="6"/>
      <c r="G192" s="5" t="s">
        <v>419</v>
      </c>
      <c r="H192" s="5">
        <v>0</v>
      </c>
      <c r="I192" s="5">
        <f t="shared" si="13"/>
        <v>1</v>
      </c>
      <c r="J192" s="5" t="s">
        <v>24</v>
      </c>
      <c r="K192" s="5" t="s">
        <v>688</v>
      </c>
      <c r="L192" s="6" t="s">
        <v>25</v>
      </c>
    </row>
    <row r="193" spans="1:14" x14ac:dyDescent="0.2">
      <c r="G193" t="s">
        <v>436</v>
      </c>
      <c r="H193">
        <v>0.66700000000000004</v>
      </c>
      <c r="I193">
        <f t="shared" si="13"/>
        <v>0.51324600851291879</v>
      </c>
      <c r="J193" t="s">
        <v>23</v>
      </c>
      <c r="K193" t="s">
        <v>689</v>
      </c>
      <c r="L193" t="s">
        <v>25</v>
      </c>
      <c r="M193">
        <v>1</v>
      </c>
      <c r="N193" t="s">
        <v>7</v>
      </c>
    </row>
    <row r="194" spans="1:14" x14ac:dyDescent="0.2">
      <c r="G194" t="s">
        <v>454</v>
      </c>
      <c r="H194">
        <v>0</v>
      </c>
      <c r="I194">
        <f t="shared" si="13"/>
        <v>1</v>
      </c>
      <c r="J194" t="s">
        <v>10</v>
      </c>
      <c r="K194" t="s">
        <v>689</v>
      </c>
      <c r="L194" t="s">
        <v>25</v>
      </c>
      <c r="M194">
        <v>1</v>
      </c>
      <c r="N194" t="s">
        <v>7</v>
      </c>
    </row>
    <row r="195" spans="1:14" x14ac:dyDescent="0.2">
      <c r="G195" t="s">
        <v>483</v>
      </c>
      <c r="H195">
        <v>0</v>
      </c>
      <c r="I195">
        <f t="shared" si="13"/>
        <v>1</v>
      </c>
      <c r="J195" t="s">
        <v>12</v>
      </c>
      <c r="K195" t="s">
        <v>689</v>
      </c>
      <c r="L195" t="s">
        <v>25</v>
      </c>
      <c r="M195">
        <v>1</v>
      </c>
      <c r="N195" t="s">
        <v>7</v>
      </c>
    </row>
    <row r="196" spans="1:14" x14ac:dyDescent="0.2">
      <c r="G196" t="s">
        <v>507</v>
      </c>
      <c r="H196">
        <v>0</v>
      </c>
      <c r="I196">
        <f t="shared" si="13"/>
        <v>1</v>
      </c>
      <c r="J196" t="s">
        <v>5</v>
      </c>
      <c r="K196" t="s">
        <v>689</v>
      </c>
      <c r="L196" t="s">
        <v>25</v>
      </c>
      <c r="M196">
        <v>1</v>
      </c>
      <c r="N196" t="s">
        <v>7</v>
      </c>
    </row>
    <row r="197" spans="1:14" x14ac:dyDescent="0.2">
      <c r="D197" s="1"/>
      <c r="E197" s="2"/>
      <c r="F197" s="3"/>
      <c r="G197" s="2" t="s">
        <v>526</v>
      </c>
      <c r="H197" s="2">
        <v>0</v>
      </c>
      <c r="I197" s="2">
        <f t="shared" si="13"/>
        <v>1</v>
      </c>
      <c r="J197" s="2" t="s">
        <v>22</v>
      </c>
      <c r="K197" s="2" t="s">
        <v>689</v>
      </c>
      <c r="L197" s="3" t="s">
        <v>25</v>
      </c>
      <c r="M197">
        <v>2</v>
      </c>
      <c r="N197" t="s">
        <v>29</v>
      </c>
    </row>
    <row r="198" spans="1:14" x14ac:dyDescent="0.2">
      <c r="D198" s="4"/>
      <c r="E198" s="5"/>
      <c r="F198" s="6"/>
      <c r="G198" s="5" t="s">
        <v>519</v>
      </c>
      <c r="H198" s="5">
        <v>0</v>
      </c>
      <c r="I198" s="5">
        <f t="shared" si="13"/>
        <v>1</v>
      </c>
      <c r="J198" s="5" t="s">
        <v>22</v>
      </c>
      <c r="K198" s="5" t="s">
        <v>688</v>
      </c>
      <c r="L198" s="6" t="s">
        <v>25</v>
      </c>
    </row>
    <row r="199" spans="1:14" x14ac:dyDescent="0.2">
      <c r="D199" s="1"/>
      <c r="E199" s="2"/>
      <c r="F199" s="3"/>
      <c r="G199" s="2" t="s">
        <v>558</v>
      </c>
      <c r="H199" s="2">
        <v>0</v>
      </c>
      <c r="I199" s="2">
        <f t="shared" si="13"/>
        <v>1</v>
      </c>
      <c r="J199" s="2" t="s">
        <v>2</v>
      </c>
      <c r="K199" s="2" t="s">
        <v>689</v>
      </c>
      <c r="L199" s="3" t="s">
        <v>25</v>
      </c>
      <c r="M199">
        <v>2</v>
      </c>
      <c r="N199" t="s">
        <v>29</v>
      </c>
    </row>
    <row r="200" spans="1:14" x14ac:dyDescent="0.2">
      <c r="D200" s="4"/>
      <c r="E200" s="5"/>
      <c r="F200" s="6"/>
      <c r="G200" s="5" t="s">
        <v>550</v>
      </c>
      <c r="H200" s="5">
        <v>0</v>
      </c>
      <c r="I200" s="5">
        <f t="shared" si="13"/>
        <v>1</v>
      </c>
      <c r="J200" s="5" t="s">
        <v>2</v>
      </c>
      <c r="K200" s="5" t="s">
        <v>688</v>
      </c>
      <c r="L200" s="6" t="s">
        <v>25</v>
      </c>
    </row>
    <row r="201" spans="1:14" x14ac:dyDescent="0.2">
      <c r="D201" s="1"/>
      <c r="E201" s="2"/>
      <c r="F201" s="3"/>
      <c r="G201" s="2" t="s">
        <v>583</v>
      </c>
      <c r="H201" s="2">
        <v>0</v>
      </c>
      <c r="I201" s="2">
        <f t="shared" si="13"/>
        <v>1</v>
      </c>
      <c r="J201" s="2" t="s">
        <v>14</v>
      </c>
      <c r="K201" s="2" t="s">
        <v>689</v>
      </c>
      <c r="L201" s="3" t="s">
        <v>25</v>
      </c>
      <c r="M201">
        <v>2</v>
      </c>
      <c r="N201" t="s">
        <v>29</v>
      </c>
    </row>
    <row r="202" spans="1:14" x14ac:dyDescent="0.2">
      <c r="D202" s="7"/>
      <c r="G202" t="s">
        <v>572</v>
      </c>
      <c r="H202">
        <v>0</v>
      </c>
      <c r="I202">
        <f t="shared" si="13"/>
        <v>1</v>
      </c>
      <c r="J202" t="s">
        <v>14</v>
      </c>
      <c r="K202" t="s">
        <v>688</v>
      </c>
      <c r="L202" s="8" t="s">
        <v>25</v>
      </c>
    </row>
    <row r="203" spans="1:14" x14ac:dyDescent="0.2">
      <c r="A203" s="1" t="s">
        <v>597</v>
      </c>
      <c r="B203" s="2">
        <v>1.4690000000000001</v>
      </c>
      <c r="C203" s="2">
        <f>EXP(-B203)</f>
        <v>0.23015552567298364</v>
      </c>
      <c r="D203" s="1" t="s">
        <v>1</v>
      </c>
      <c r="E203" s="2" t="s">
        <v>689</v>
      </c>
      <c r="F203" s="3" t="s">
        <v>26</v>
      </c>
      <c r="G203" s="2" t="s">
        <v>605</v>
      </c>
      <c r="H203" s="2">
        <v>0</v>
      </c>
      <c r="I203" s="2">
        <f t="shared" si="13"/>
        <v>1</v>
      </c>
      <c r="J203" s="2" t="s">
        <v>1</v>
      </c>
      <c r="K203" s="2" t="s">
        <v>689</v>
      </c>
      <c r="L203" s="3" t="s">
        <v>25</v>
      </c>
      <c r="M203">
        <v>3</v>
      </c>
      <c r="N203" t="s">
        <v>27</v>
      </c>
    </row>
    <row r="204" spans="1:14" x14ac:dyDescent="0.2">
      <c r="A204" s="4"/>
      <c r="B204" s="5"/>
      <c r="C204" s="5"/>
      <c r="D204" s="4"/>
      <c r="E204" s="5"/>
      <c r="F204" s="6"/>
      <c r="G204" s="5" t="s">
        <v>593</v>
      </c>
      <c r="H204" s="5">
        <v>0</v>
      </c>
      <c r="I204" s="5">
        <f t="shared" si="13"/>
        <v>1</v>
      </c>
      <c r="J204" s="5" t="s">
        <v>1</v>
      </c>
      <c r="K204" s="5" t="s">
        <v>688</v>
      </c>
      <c r="L204" s="6" t="s">
        <v>25</v>
      </c>
    </row>
    <row r="205" spans="1:14" x14ac:dyDescent="0.2">
      <c r="A205" t="s">
        <v>611</v>
      </c>
      <c r="B205">
        <v>1.4690000000000001</v>
      </c>
      <c r="C205">
        <f>EXP(-B205)</f>
        <v>0.23015552567298364</v>
      </c>
      <c r="D205" s="1" t="s">
        <v>15</v>
      </c>
      <c r="E205" s="2" t="s">
        <v>689</v>
      </c>
      <c r="F205" s="3" t="s">
        <v>26</v>
      </c>
      <c r="G205" s="2" t="s">
        <v>618</v>
      </c>
      <c r="H205" s="2">
        <v>0</v>
      </c>
      <c r="I205" s="2">
        <f t="shared" si="13"/>
        <v>1</v>
      </c>
      <c r="J205" s="2" t="s">
        <v>15</v>
      </c>
      <c r="K205" s="2" t="s">
        <v>689</v>
      </c>
      <c r="L205" s="3" t="s">
        <v>25</v>
      </c>
      <c r="M205">
        <v>2</v>
      </c>
      <c r="N205" t="s">
        <v>34</v>
      </c>
    </row>
    <row r="206" spans="1:14" x14ac:dyDescent="0.2">
      <c r="D206" s="4"/>
      <c r="E206" s="5"/>
      <c r="F206" s="6"/>
      <c r="G206" s="5"/>
      <c r="H206" s="5"/>
      <c r="I206" s="5"/>
      <c r="J206" s="5"/>
      <c r="K206" s="5"/>
      <c r="L206" s="6"/>
    </row>
    <row r="207" spans="1:14" x14ac:dyDescent="0.2">
      <c r="A207" t="s">
        <v>630</v>
      </c>
      <c r="B207">
        <v>1.4690000000000001</v>
      </c>
      <c r="C207">
        <f>EXP(-B207)</f>
        <v>0.23015552567298364</v>
      </c>
      <c r="D207" s="1" t="s">
        <v>16</v>
      </c>
      <c r="E207" s="2" t="s">
        <v>689</v>
      </c>
      <c r="F207" s="3" t="s">
        <v>26</v>
      </c>
      <c r="G207" s="2" t="s">
        <v>636</v>
      </c>
      <c r="H207" s="2">
        <v>0</v>
      </c>
      <c r="I207" s="2">
        <f>EXP(-H207)</f>
        <v>1</v>
      </c>
      <c r="J207" s="2" t="s">
        <v>16</v>
      </c>
      <c r="K207" s="2" t="s">
        <v>689</v>
      </c>
      <c r="L207" s="3" t="s">
        <v>25</v>
      </c>
      <c r="M207">
        <v>2</v>
      </c>
      <c r="N207" t="s">
        <v>34</v>
      </c>
    </row>
    <row r="208" spans="1:14" x14ac:dyDescent="0.2">
      <c r="D208" s="4"/>
      <c r="E208" s="5"/>
      <c r="F208" s="6"/>
      <c r="G208" s="5"/>
      <c r="H208" s="5"/>
      <c r="I208" s="5"/>
      <c r="J208" s="5"/>
      <c r="K208" s="5"/>
      <c r="L208" s="6"/>
    </row>
    <row r="209" spans="1:14" x14ac:dyDescent="0.2">
      <c r="G209" t="s">
        <v>652</v>
      </c>
      <c r="H209">
        <v>0.63300000000000001</v>
      </c>
      <c r="I209">
        <f>EXP(-H209)</f>
        <v>0.53099641987211432</v>
      </c>
      <c r="J209" t="s">
        <v>17</v>
      </c>
      <c r="K209" t="s">
        <v>689</v>
      </c>
      <c r="L209" t="s">
        <v>25</v>
      </c>
      <c r="M209">
        <v>1</v>
      </c>
      <c r="N209" t="s">
        <v>7</v>
      </c>
    </row>
    <row r="210" spans="1:14" x14ac:dyDescent="0.2">
      <c r="D210" s="1"/>
      <c r="E210" s="2"/>
      <c r="F210" s="3"/>
      <c r="G210" s="2" t="s">
        <v>674</v>
      </c>
      <c r="H210" s="2">
        <v>0</v>
      </c>
      <c r="I210" s="2">
        <f>EXP(-H210)</f>
        <v>1</v>
      </c>
      <c r="J210" s="2" t="s">
        <v>18</v>
      </c>
      <c r="K210" s="2" t="s">
        <v>689</v>
      </c>
      <c r="L210" s="3" t="s">
        <v>25</v>
      </c>
      <c r="M210">
        <v>3</v>
      </c>
      <c r="N210" t="s">
        <v>28</v>
      </c>
    </row>
    <row r="211" spans="1:14" x14ac:dyDescent="0.2">
      <c r="A211" t="s">
        <v>656</v>
      </c>
      <c r="B211">
        <v>1.9750000000000001</v>
      </c>
      <c r="C211">
        <f>EXP(-B211)</f>
        <v>0.13876131224295524</v>
      </c>
      <c r="D211" s="4" t="s">
        <v>18</v>
      </c>
      <c r="E211" s="5" t="s">
        <v>688</v>
      </c>
      <c r="F211" s="6" t="s">
        <v>26</v>
      </c>
      <c r="G211" s="5" t="s">
        <v>664</v>
      </c>
      <c r="H211" s="5">
        <v>0</v>
      </c>
      <c r="I211" s="5">
        <f>EXP(-H211)</f>
        <v>1</v>
      </c>
      <c r="J211" s="5" t="s">
        <v>18</v>
      </c>
      <c r="K211" s="5" t="s">
        <v>688</v>
      </c>
      <c r="L211" s="6" t="s">
        <v>25</v>
      </c>
    </row>
    <row r="212" spans="1:14" x14ac:dyDescent="0.2">
      <c r="A212" t="s">
        <v>381</v>
      </c>
      <c r="B212">
        <v>0.16400000000000001</v>
      </c>
      <c r="C212">
        <f>EXP(-B212)</f>
        <v>0.84874202188020675</v>
      </c>
      <c r="D212" s="1" t="s">
        <v>0</v>
      </c>
      <c r="E212" s="2" t="s">
        <v>689</v>
      </c>
      <c r="F212" s="3" t="s">
        <v>20</v>
      </c>
      <c r="G212" s="2" t="s">
        <v>370</v>
      </c>
      <c r="H212" s="2">
        <v>0.16400000000000001</v>
      </c>
      <c r="I212" s="2">
        <f>EXP(-H212)</f>
        <v>0.84874202188020675</v>
      </c>
      <c r="J212" s="2" t="s">
        <v>0</v>
      </c>
      <c r="K212" s="2" t="s">
        <v>688</v>
      </c>
      <c r="L212" s="3" t="s">
        <v>1</v>
      </c>
      <c r="M212">
        <v>3</v>
      </c>
      <c r="N212" t="s">
        <v>36</v>
      </c>
    </row>
    <row r="213" spans="1:14" x14ac:dyDescent="0.2">
      <c r="A213" t="s">
        <v>373</v>
      </c>
      <c r="B213">
        <v>0.67</v>
      </c>
      <c r="C213">
        <f>EXP(-B213)</f>
        <v>0.51170857778654244</v>
      </c>
      <c r="D213" s="4" t="s">
        <v>0</v>
      </c>
      <c r="E213" s="5" t="s">
        <v>688</v>
      </c>
      <c r="F213" s="6" t="s">
        <v>20</v>
      </c>
      <c r="G213" s="5"/>
      <c r="H213" s="5"/>
      <c r="I213" s="5"/>
      <c r="J213" s="5"/>
      <c r="K213" s="5"/>
      <c r="L213" s="6"/>
    </row>
    <row r="214" spans="1:14" x14ac:dyDescent="0.2">
      <c r="D214" s="1"/>
      <c r="E214" s="2"/>
      <c r="F214" s="3"/>
      <c r="G214" s="2" t="s">
        <v>408</v>
      </c>
      <c r="H214" s="2">
        <v>0</v>
      </c>
      <c r="I214" s="2">
        <f>EXP(-H214)</f>
        <v>1</v>
      </c>
      <c r="J214" s="2" t="s">
        <v>9</v>
      </c>
      <c r="K214" s="2" t="s">
        <v>689</v>
      </c>
      <c r="L214" s="3" t="s">
        <v>1</v>
      </c>
      <c r="M214">
        <v>2</v>
      </c>
      <c r="N214" t="s">
        <v>694</v>
      </c>
    </row>
    <row r="215" spans="1:14" x14ac:dyDescent="0.2">
      <c r="D215" s="4"/>
      <c r="E215" s="5"/>
      <c r="F215" s="6"/>
      <c r="G215" s="5" t="s">
        <v>399</v>
      </c>
      <c r="H215" s="5">
        <v>0</v>
      </c>
      <c r="I215" s="5">
        <f>EXP(-H215)</f>
        <v>1</v>
      </c>
      <c r="J215" s="5" t="s">
        <v>9</v>
      </c>
      <c r="K215" s="5" t="s">
        <v>688</v>
      </c>
      <c r="L215" s="6" t="s">
        <v>1</v>
      </c>
    </row>
    <row r="216" spans="1:14" x14ac:dyDescent="0.2">
      <c r="G216" t="s">
        <v>411</v>
      </c>
      <c r="H216">
        <v>1.9379999999999999</v>
      </c>
      <c r="I216">
        <f>EXP(-H216)</f>
        <v>0.14399164527685901</v>
      </c>
      <c r="J216" t="s">
        <v>26</v>
      </c>
      <c r="K216" t="s">
        <v>688</v>
      </c>
      <c r="L216" t="s">
        <v>1</v>
      </c>
      <c r="M216">
        <v>1</v>
      </c>
      <c r="N216" t="s">
        <v>4</v>
      </c>
    </row>
    <row r="217" spans="1:14" x14ac:dyDescent="0.2">
      <c r="A217" t="s">
        <v>391</v>
      </c>
      <c r="B217">
        <v>0</v>
      </c>
      <c r="C217">
        <f>EXP(-B217)</f>
        <v>1</v>
      </c>
      <c r="D217" s="1" t="s">
        <v>8</v>
      </c>
      <c r="E217" s="2" t="s">
        <v>689</v>
      </c>
      <c r="F217" s="3" t="s">
        <v>20</v>
      </c>
      <c r="G217" s="2"/>
      <c r="H217" s="2"/>
      <c r="I217" s="2"/>
      <c r="J217" s="2"/>
      <c r="K217" s="2"/>
      <c r="L217" s="3"/>
      <c r="M217">
        <v>2</v>
      </c>
      <c r="N217" t="s">
        <v>33</v>
      </c>
    </row>
    <row r="218" spans="1:14" x14ac:dyDescent="0.2">
      <c r="A218" t="s">
        <v>385</v>
      </c>
      <c r="B218">
        <v>1.248</v>
      </c>
      <c r="C218">
        <f>EXP(-B218)</f>
        <v>0.28707837984570167</v>
      </c>
      <c r="D218" s="4" t="s">
        <v>8</v>
      </c>
      <c r="E218" s="5" t="s">
        <v>688</v>
      </c>
      <c r="F218" s="6" t="s">
        <v>20</v>
      </c>
      <c r="G218" s="5"/>
      <c r="H218" s="5"/>
      <c r="I218" s="5"/>
      <c r="J218" s="5"/>
      <c r="K218" s="5"/>
      <c r="L218" s="6"/>
    </row>
    <row r="219" spans="1:14" x14ac:dyDescent="0.2">
      <c r="G219" t="s">
        <v>416</v>
      </c>
      <c r="H219">
        <v>0</v>
      </c>
      <c r="I219">
        <f>EXP(-H219)</f>
        <v>1</v>
      </c>
      <c r="J219" t="s">
        <v>24</v>
      </c>
      <c r="K219" t="s">
        <v>688</v>
      </c>
      <c r="L219" t="s">
        <v>1</v>
      </c>
      <c r="M219">
        <v>1</v>
      </c>
      <c r="N219" t="s">
        <v>4</v>
      </c>
    </row>
    <row r="220" spans="1:14" x14ac:dyDescent="0.2">
      <c r="A220" t="s">
        <v>410</v>
      </c>
      <c r="B220">
        <v>0</v>
      </c>
      <c r="C220">
        <f>EXP(-B220)</f>
        <v>1</v>
      </c>
      <c r="D220" t="s">
        <v>9</v>
      </c>
      <c r="E220" t="s">
        <v>689</v>
      </c>
      <c r="F220" s="8" t="s">
        <v>20</v>
      </c>
      <c r="M220">
        <v>1</v>
      </c>
      <c r="N220" t="s">
        <v>35</v>
      </c>
    </row>
    <row r="221" spans="1:14" x14ac:dyDescent="0.2">
      <c r="A221" t="s">
        <v>412</v>
      </c>
      <c r="B221">
        <v>1.9379999999999999</v>
      </c>
      <c r="C221">
        <f>EXP(-B221)</f>
        <v>0.14399164527685901</v>
      </c>
      <c r="D221" t="s">
        <v>26</v>
      </c>
      <c r="E221" t="s">
        <v>689</v>
      </c>
      <c r="F221" s="8" t="s">
        <v>20</v>
      </c>
      <c r="M221">
        <v>1</v>
      </c>
      <c r="N221" t="s">
        <v>6</v>
      </c>
    </row>
    <row r="222" spans="1:14" x14ac:dyDescent="0.2">
      <c r="A222" t="s">
        <v>437</v>
      </c>
      <c r="B222">
        <v>0.66700000000000004</v>
      </c>
      <c r="C222">
        <f>EXP(-B222)</f>
        <v>0.51324600851291879</v>
      </c>
      <c r="D222" s="1" t="s">
        <v>23</v>
      </c>
      <c r="E222" s="2" t="s">
        <v>689</v>
      </c>
      <c r="F222" s="3" t="s">
        <v>20</v>
      </c>
      <c r="G222" s="2" t="s">
        <v>435</v>
      </c>
      <c r="H222" s="2">
        <v>0.66700000000000004</v>
      </c>
      <c r="I222" s="2">
        <f>EXP(-H222)</f>
        <v>0.51324600851291879</v>
      </c>
      <c r="J222" s="2" t="s">
        <v>23</v>
      </c>
      <c r="K222" s="2" t="s">
        <v>689</v>
      </c>
      <c r="L222" s="3" t="s">
        <v>1</v>
      </c>
      <c r="M222">
        <v>2</v>
      </c>
      <c r="N222" s="9" t="s">
        <v>34</v>
      </c>
    </row>
    <row r="223" spans="1:14" x14ac:dyDescent="0.2">
      <c r="D223" s="4"/>
      <c r="E223" s="5"/>
      <c r="F223" s="6"/>
      <c r="G223" s="5"/>
      <c r="H223" s="5"/>
      <c r="I223" s="5"/>
      <c r="J223" s="5"/>
      <c r="K223" s="5"/>
      <c r="L223" s="6"/>
    </row>
    <row r="224" spans="1:14" x14ac:dyDescent="0.2">
      <c r="A224" t="s">
        <v>428</v>
      </c>
      <c r="B224">
        <v>0</v>
      </c>
      <c r="C224">
        <f>EXP(-B224)</f>
        <v>1</v>
      </c>
      <c r="D224" s="1" t="s">
        <v>24</v>
      </c>
      <c r="E224" s="2" t="s">
        <v>689</v>
      </c>
      <c r="F224" s="3" t="s">
        <v>20</v>
      </c>
      <c r="G224" s="2"/>
      <c r="H224" s="2"/>
      <c r="I224" s="2"/>
      <c r="J224" s="2"/>
      <c r="K224" s="2"/>
      <c r="L224" s="3"/>
      <c r="M224">
        <v>2</v>
      </c>
      <c r="N224" t="s">
        <v>33</v>
      </c>
    </row>
    <row r="225" spans="1:14" x14ac:dyDescent="0.2">
      <c r="A225" t="s">
        <v>420</v>
      </c>
      <c r="B225">
        <v>0.50600000000000001</v>
      </c>
      <c r="C225">
        <f>EXP(-B225)</f>
        <v>0.60290237150384207</v>
      </c>
      <c r="D225" s="4" t="s">
        <v>24</v>
      </c>
      <c r="E225" s="5" t="s">
        <v>688</v>
      </c>
      <c r="F225" s="6" t="s">
        <v>20</v>
      </c>
      <c r="G225" s="5"/>
      <c r="H225" s="5"/>
      <c r="I225" s="5"/>
      <c r="J225" s="5"/>
      <c r="K225" s="5"/>
      <c r="L225" s="6"/>
    </row>
    <row r="227" spans="1:14" x14ac:dyDescent="0.2">
      <c r="A227" t="s">
        <v>456</v>
      </c>
      <c r="B227">
        <v>0</v>
      </c>
      <c r="C227">
        <f>EXP(-B227)</f>
        <v>1</v>
      </c>
      <c r="D227" s="1" t="s">
        <v>10</v>
      </c>
      <c r="E227" s="2" t="s">
        <v>689</v>
      </c>
      <c r="F227" s="3" t="s">
        <v>20</v>
      </c>
      <c r="G227" s="2" t="s">
        <v>451</v>
      </c>
      <c r="H227" s="2">
        <v>0</v>
      </c>
      <c r="I227" s="2">
        <f>EXP(-H227)</f>
        <v>1</v>
      </c>
      <c r="J227" s="2" t="s">
        <v>10</v>
      </c>
      <c r="K227" s="2" t="s">
        <v>689</v>
      </c>
      <c r="L227" s="3" t="s">
        <v>1</v>
      </c>
      <c r="M227">
        <v>4</v>
      </c>
      <c r="N227" t="s">
        <v>37</v>
      </c>
    </row>
    <row r="228" spans="1:14" x14ac:dyDescent="0.2">
      <c r="A228" t="s">
        <v>444</v>
      </c>
      <c r="B228">
        <v>0.50600000000000001</v>
      </c>
      <c r="C228">
        <f>EXP(-B228)</f>
        <v>0.60290237150384207</v>
      </c>
      <c r="D228" s="4" t="s">
        <v>10</v>
      </c>
      <c r="E228" s="5" t="s">
        <v>688</v>
      </c>
      <c r="F228" s="6" t="s">
        <v>20</v>
      </c>
      <c r="G228" s="5" t="s">
        <v>442</v>
      </c>
      <c r="H228" s="5">
        <v>0</v>
      </c>
      <c r="I228" s="5">
        <f>EXP(-H228)</f>
        <v>1</v>
      </c>
      <c r="J228" s="5" t="s">
        <v>10</v>
      </c>
      <c r="K228" s="5" t="s">
        <v>688</v>
      </c>
      <c r="L228" s="6" t="s">
        <v>1</v>
      </c>
    </row>
    <row r="229" spans="1:14" x14ac:dyDescent="0.2">
      <c r="A229" t="s">
        <v>466</v>
      </c>
      <c r="B229">
        <v>0.79100000000000004</v>
      </c>
      <c r="C229">
        <f>EXP(-B229)</f>
        <v>0.4533911773338492</v>
      </c>
      <c r="D229" s="1" t="s">
        <v>11</v>
      </c>
      <c r="E229" s="2" t="s">
        <v>689</v>
      </c>
      <c r="F229" s="3" t="s">
        <v>20</v>
      </c>
      <c r="G229" s="2" t="s">
        <v>465</v>
      </c>
      <c r="H229" s="2">
        <v>0.79100000000000004</v>
      </c>
      <c r="I229" s="2">
        <f>EXP(-H229)</f>
        <v>0.4533911773338492</v>
      </c>
      <c r="J229" s="2" t="s">
        <v>11</v>
      </c>
      <c r="K229" s="2" t="s">
        <v>689</v>
      </c>
      <c r="L229" s="3" t="s">
        <v>1</v>
      </c>
      <c r="M229">
        <v>2</v>
      </c>
      <c r="N229" s="9" t="s">
        <v>34</v>
      </c>
    </row>
    <row r="230" spans="1:14" x14ac:dyDescent="0.2">
      <c r="D230" s="4"/>
      <c r="E230" s="5"/>
      <c r="F230" s="6"/>
      <c r="G230" s="5"/>
      <c r="H230" s="5"/>
      <c r="I230" s="5"/>
      <c r="J230" s="5"/>
      <c r="K230" s="5"/>
      <c r="L230" s="6"/>
    </row>
    <row r="231" spans="1:14" x14ac:dyDescent="0.2">
      <c r="A231" t="s">
        <v>484</v>
      </c>
      <c r="B231">
        <v>0</v>
      </c>
      <c r="C231">
        <f>EXP(-B231)</f>
        <v>1</v>
      </c>
      <c r="D231" s="1" t="s">
        <v>12</v>
      </c>
      <c r="E231" s="2" t="s">
        <v>689</v>
      </c>
      <c r="F231" s="3" t="s">
        <v>20</v>
      </c>
      <c r="G231" s="2" t="s">
        <v>480</v>
      </c>
      <c r="H231" s="2">
        <v>0</v>
      </c>
      <c r="I231" s="2">
        <f t="shared" ref="I231:I246" si="14">EXP(-H231)</f>
        <v>1</v>
      </c>
      <c r="J231" s="2" t="s">
        <v>12</v>
      </c>
      <c r="K231" s="2" t="s">
        <v>689</v>
      </c>
      <c r="L231" s="3" t="s">
        <v>1</v>
      </c>
      <c r="M231">
        <v>3</v>
      </c>
      <c r="N231" t="s">
        <v>27</v>
      </c>
    </row>
    <row r="232" spans="1:14" x14ac:dyDescent="0.2">
      <c r="D232" s="4"/>
      <c r="E232" s="5"/>
      <c r="F232" s="6"/>
      <c r="G232" s="5" t="s">
        <v>473</v>
      </c>
      <c r="H232" s="5">
        <v>0</v>
      </c>
      <c r="I232" s="5">
        <f t="shared" si="14"/>
        <v>1</v>
      </c>
      <c r="J232" s="5" t="s">
        <v>12</v>
      </c>
      <c r="K232" s="5" t="s">
        <v>688</v>
      </c>
      <c r="L232" s="6" t="s">
        <v>1</v>
      </c>
    </row>
    <row r="233" spans="1:14" x14ac:dyDescent="0.2">
      <c r="A233" t="s">
        <v>509</v>
      </c>
      <c r="B233">
        <v>0</v>
      </c>
      <c r="C233">
        <f>EXP(-B233)</f>
        <v>1</v>
      </c>
      <c r="D233" s="1" t="s">
        <v>5</v>
      </c>
      <c r="E233" s="2" t="s">
        <v>689</v>
      </c>
      <c r="F233" s="3" t="s">
        <v>20</v>
      </c>
      <c r="G233" s="2" t="s">
        <v>504</v>
      </c>
      <c r="H233" s="2">
        <v>0</v>
      </c>
      <c r="I233" s="2">
        <f t="shared" si="14"/>
        <v>1</v>
      </c>
      <c r="J233" s="2" t="s">
        <v>5</v>
      </c>
      <c r="K233" s="2" t="s">
        <v>689</v>
      </c>
      <c r="L233" s="3" t="s">
        <v>1</v>
      </c>
      <c r="M233">
        <v>4</v>
      </c>
      <c r="N233" s="9" t="s">
        <v>37</v>
      </c>
    </row>
    <row r="234" spans="1:14" x14ac:dyDescent="0.2">
      <c r="A234" t="s">
        <v>495</v>
      </c>
      <c r="B234">
        <v>0.50600000000000001</v>
      </c>
      <c r="C234">
        <f>EXP(-B234)</f>
        <v>0.60290237150384207</v>
      </c>
      <c r="D234" s="4" t="s">
        <v>5</v>
      </c>
      <c r="E234" s="5" t="s">
        <v>688</v>
      </c>
      <c r="F234" s="6" t="s">
        <v>20</v>
      </c>
      <c r="G234" s="5" t="s">
        <v>491</v>
      </c>
      <c r="H234" s="5">
        <v>0</v>
      </c>
      <c r="I234" s="5">
        <f t="shared" si="14"/>
        <v>1</v>
      </c>
      <c r="J234" s="5" t="s">
        <v>5</v>
      </c>
      <c r="K234" s="5" t="s">
        <v>688</v>
      </c>
      <c r="L234" s="6" t="s">
        <v>1</v>
      </c>
    </row>
    <row r="235" spans="1:14" x14ac:dyDescent="0.2">
      <c r="A235" t="s">
        <v>528</v>
      </c>
      <c r="B235">
        <v>0</v>
      </c>
      <c r="C235">
        <f>EXP(-B235)</f>
        <v>1</v>
      </c>
      <c r="D235" s="1" t="s">
        <v>22</v>
      </c>
      <c r="E235" s="2" t="s">
        <v>689</v>
      </c>
      <c r="F235" s="3" t="s">
        <v>20</v>
      </c>
      <c r="G235" s="2" t="s">
        <v>524</v>
      </c>
      <c r="H235" s="2">
        <v>0</v>
      </c>
      <c r="I235" s="2">
        <f t="shared" si="14"/>
        <v>1</v>
      </c>
      <c r="J235" s="2" t="s">
        <v>22</v>
      </c>
      <c r="K235" s="2" t="s">
        <v>689</v>
      </c>
      <c r="L235" s="3" t="s">
        <v>1</v>
      </c>
      <c r="M235">
        <v>4</v>
      </c>
      <c r="N235" s="9" t="s">
        <v>37</v>
      </c>
    </row>
    <row r="236" spans="1:14" x14ac:dyDescent="0.2">
      <c r="A236" t="s">
        <v>520</v>
      </c>
      <c r="B236">
        <v>0.50600000000000001</v>
      </c>
      <c r="C236">
        <f>EXP(-B236)</f>
        <v>0.60290237150384207</v>
      </c>
      <c r="D236" s="4" t="s">
        <v>22</v>
      </c>
      <c r="E236" s="5" t="s">
        <v>688</v>
      </c>
      <c r="F236" s="6" t="s">
        <v>20</v>
      </c>
      <c r="G236" s="5" t="s">
        <v>516</v>
      </c>
      <c r="H236" s="5">
        <v>0</v>
      </c>
      <c r="I236" s="5">
        <f t="shared" si="14"/>
        <v>1</v>
      </c>
      <c r="J236" s="5" t="s">
        <v>22</v>
      </c>
      <c r="K236" s="5" t="s">
        <v>688</v>
      </c>
      <c r="L236" s="6" t="s">
        <v>1</v>
      </c>
    </row>
    <row r="237" spans="1:14" x14ac:dyDescent="0.2">
      <c r="A237" t="s">
        <v>543</v>
      </c>
      <c r="B237">
        <v>0</v>
      </c>
      <c r="C237">
        <f>EXP(-B237)</f>
        <v>1</v>
      </c>
      <c r="D237" s="1" t="s">
        <v>13</v>
      </c>
      <c r="E237" s="2" t="s">
        <v>689</v>
      </c>
      <c r="F237" s="3" t="s">
        <v>20</v>
      </c>
      <c r="G237" s="2" t="s">
        <v>540</v>
      </c>
      <c r="H237" s="2">
        <v>0</v>
      </c>
      <c r="I237" s="2">
        <f t="shared" si="14"/>
        <v>1</v>
      </c>
      <c r="J237" s="2" t="s">
        <v>13</v>
      </c>
      <c r="K237" s="2" t="s">
        <v>689</v>
      </c>
      <c r="L237" s="3" t="s">
        <v>1</v>
      </c>
      <c r="M237">
        <v>3</v>
      </c>
      <c r="N237" t="s">
        <v>693</v>
      </c>
    </row>
    <row r="238" spans="1:14" x14ac:dyDescent="0.2">
      <c r="D238" s="4"/>
      <c r="E238" s="5"/>
      <c r="F238" s="6"/>
      <c r="G238" s="5" t="s">
        <v>534</v>
      </c>
      <c r="H238" s="5">
        <v>0</v>
      </c>
      <c r="I238" s="5">
        <f t="shared" si="14"/>
        <v>1</v>
      </c>
      <c r="J238" s="5" t="s">
        <v>13</v>
      </c>
      <c r="K238" s="5" t="s">
        <v>688</v>
      </c>
      <c r="L238" s="6" t="s">
        <v>1</v>
      </c>
    </row>
    <row r="239" spans="1:14" x14ac:dyDescent="0.2">
      <c r="A239" t="s">
        <v>560</v>
      </c>
      <c r="B239">
        <v>0</v>
      </c>
      <c r="C239">
        <f>EXP(-B239)</f>
        <v>1</v>
      </c>
      <c r="D239" s="1" t="s">
        <v>2</v>
      </c>
      <c r="E239" s="2" t="s">
        <v>689</v>
      </c>
      <c r="F239" s="3" t="s">
        <v>20</v>
      </c>
      <c r="G239" s="2" t="s">
        <v>556</v>
      </c>
      <c r="H239" s="2">
        <v>0</v>
      </c>
      <c r="I239" s="2">
        <f t="shared" si="14"/>
        <v>1</v>
      </c>
      <c r="J239" s="2" t="s">
        <v>2</v>
      </c>
      <c r="K239" s="2" t="s">
        <v>689</v>
      </c>
      <c r="L239" s="3" t="s">
        <v>1</v>
      </c>
      <c r="M239">
        <v>3</v>
      </c>
      <c r="N239" t="s">
        <v>693</v>
      </c>
    </row>
    <row r="240" spans="1:14" x14ac:dyDescent="0.2">
      <c r="D240" s="4"/>
      <c r="E240" s="5"/>
      <c r="F240" s="6"/>
      <c r="G240" s="5" t="s">
        <v>548</v>
      </c>
      <c r="H240" s="5">
        <v>0</v>
      </c>
      <c r="I240" s="5">
        <f t="shared" si="14"/>
        <v>1</v>
      </c>
      <c r="J240" s="5" t="s">
        <v>2</v>
      </c>
      <c r="K240" s="5" t="s">
        <v>688</v>
      </c>
      <c r="L240" s="6" t="s">
        <v>1</v>
      </c>
    </row>
    <row r="241" spans="1:14" x14ac:dyDescent="0.2">
      <c r="A241" t="s">
        <v>585</v>
      </c>
      <c r="B241">
        <v>0</v>
      </c>
      <c r="C241">
        <f>EXP(-B241)</f>
        <v>1</v>
      </c>
      <c r="D241" s="1" t="s">
        <v>14</v>
      </c>
      <c r="E241" s="2" t="s">
        <v>689</v>
      </c>
      <c r="F241" s="3" t="s">
        <v>20</v>
      </c>
      <c r="G241" s="2" t="s">
        <v>582</v>
      </c>
      <c r="H241" s="2">
        <v>0</v>
      </c>
      <c r="I241" s="2">
        <f t="shared" si="14"/>
        <v>1</v>
      </c>
      <c r="J241" s="2" t="s">
        <v>14</v>
      </c>
      <c r="K241" s="2" t="s">
        <v>689</v>
      </c>
      <c r="L241" s="3" t="s">
        <v>1</v>
      </c>
      <c r="M241">
        <v>4</v>
      </c>
      <c r="N241" s="9" t="s">
        <v>37</v>
      </c>
    </row>
    <row r="242" spans="1:14" x14ac:dyDescent="0.2">
      <c r="A242" t="s">
        <v>573</v>
      </c>
      <c r="B242">
        <v>0.50600000000000001</v>
      </c>
      <c r="C242">
        <f>EXP(-B242)</f>
        <v>0.60290237150384207</v>
      </c>
      <c r="D242" s="4" t="s">
        <v>14</v>
      </c>
      <c r="E242" s="5" t="s">
        <v>688</v>
      </c>
      <c r="F242" s="6" t="s">
        <v>20</v>
      </c>
      <c r="G242" s="5" t="s">
        <v>569</v>
      </c>
      <c r="H242" s="5">
        <v>0</v>
      </c>
      <c r="I242" s="5">
        <f t="shared" si="14"/>
        <v>1</v>
      </c>
      <c r="J242" s="5" t="s">
        <v>14</v>
      </c>
      <c r="K242" s="5" t="s">
        <v>688</v>
      </c>
      <c r="L242" s="6" t="s">
        <v>1</v>
      </c>
    </row>
    <row r="243" spans="1:14" x14ac:dyDescent="0.2">
      <c r="A243" t="s">
        <v>606</v>
      </c>
      <c r="B243">
        <v>0</v>
      </c>
      <c r="C243">
        <f>EXP(-B243)</f>
        <v>1</v>
      </c>
      <c r="D243" s="1" t="s">
        <v>1</v>
      </c>
      <c r="E243" s="2" t="s">
        <v>689</v>
      </c>
      <c r="F243" s="3" t="s">
        <v>20</v>
      </c>
      <c r="G243" s="2" t="s">
        <v>603</v>
      </c>
      <c r="H243" s="2">
        <v>0</v>
      </c>
      <c r="I243" s="2">
        <f t="shared" si="14"/>
        <v>1</v>
      </c>
      <c r="J243" s="2" t="s">
        <v>1</v>
      </c>
      <c r="K243" s="2" t="s">
        <v>689</v>
      </c>
      <c r="L243" s="3" t="s">
        <v>1</v>
      </c>
      <c r="M243">
        <v>3</v>
      </c>
      <c r="N243" t="s">
        <v>693</v>
      </c>
    </row>
    <row r="244" spans="1:14" x14ac:dyDescent="0.2">
      <c r="D244" s="4"/>
      <c r="E244" s="5"/>
      <c r="F244" s="6"/>
      <c r="G244" s="5" t="s">
        <v>591</v>
      </c>
      <c r="H244" s="5">
        <v>0</v>
      </c>
      <c r="I244" s="5">
        <f t="shared" si="14"/>
        <v>1</v>
      </c>
      <c r="J244" s="5" t="s">
        <v>1</v>
      </c>
      <c r="K244" s="5" t="s">
        <v>688</v>
      </c>
      <c r="L244" s="6" t="s">
        <v>1</v>
      </c>
    </row>
    <row r="245" spans="1:14" x14ac:dyDescent="0.2">
      <c r="G245" t="s">
        <v>615</v>
      </c>
      <c r="H245">
        <v>0</v>
      </c>
      <c r="I245">
        <f t="shared" si="14"/>
        <v>1</v>
      </c>
      <c r="J245" t="s">
        <v>15</v>
      </c>
      <c r="K245" t="s">
        <v>689</v>
      </c>
      <c r="L245" t="s">
        <v>1</v>
      </c>
      <c r="M245">
        <v>1</v>
      </c>
      <c r="N245" t="s">
        <v>7</v>
      </c>
    </row>
    <row r="246" spans="1:14" x14ac:dyDescent="0.2">
      <c r="A246" t="s">
        <v>637</v>
      </c>
      <c r="B246">
        <v>0</v>
      </c>
      <c r="C246">
        <f>EXP(-B246)</f>
        <v>1</v>
      </c>
      <c r="D246" s="1" t="s">
        <v>16</v>
      </c>
      <c r="E246" s="2" t="s">
        <v>689</v>
      </c>
      <c r="F246" s="3" t="s">
        <v>20</v>
      </c>
      <c r="G246" s="2" t="s">
        <v>634</v>
      </c>
      <c r="H246" s="2">
        <v>0</v>
      </c>
      <c r="I246" s="2">
        <f t="shared" si="14"/>
        <v>1</v>
      </c>
      <c r="J246" s="2" t="s">
        <v>16</v>
      </c>
      <c r="K246" s="2" t="s">
        <v>689</v>
      </c>
      <c r="L246" s="3" t="s">
        <v>1</v>
      </c>
      <c r="M246">
        <v>3</v>
      </c>
      <c r="N246" t="s">
        <v>692</v>
      </c>
    </row>
    <row r="247" spans="1:14" x14ac:dyDescent="0.2">
      <c r="A247" t="s">
        <v>627</v>
      </c>
      <c r="B247">
        <v>0.50600000000000001</v>
      </c>
      <c r="C247">
        <f>EXP(-B247)</f>
        <v>0.60290237150384207</v>
      </c>
      <c r="D247" s="4" t="s">
        <v>16</v>
      </c>
      <c r="E247" s="5" t="s">
        <v>688</v>
      </c>
      <c r="F247" s="6" t="s">
        <v>20</v>
      </c>
      <c r="G247" s="5"/>
      <c r="H247" s="5"/>
      <c r="I247" s="5"/>
      <c r="J247" s="5"/>
      <c r="K247" s="5"/>
      <c r="L247" s="6"/>
    </row>
    <row r="248" spans="1:14" x14ac:dyDescent="0.2">
      <c r="A248" t="s">
        <v>654</v>
      </c>
      <c r="B248">
        <v>0.63300000000000001</v>
      </c>
      <c r="C248">
        <f>EXP(-B248)</f>
        <v>0.53099641987211432</v>
      </c>
      <c r="D248" s="1" t="s">
        <v>17</v>
      </c>
      <c r="E248" s="2" t="s">
        <v>689</v>
      </c>
      <c r="F248" s="3" t="s">
        <v>20</v>
      </c>
      <c r="G248" s="2" t="s">
        <v>644</v>
      </c>
      <c r="H248" s="2">
        <v>0.63300000000000001</v>
      </c>
      <c r="I248" s="2">
        <f>EXP(-H248)</f>
        <v>0.53099641987211432</v>
      </c>
      <c r="J248" s="2" t="s">
        <v>17</v>
      </c>
      <c r="K248" s="2" t="s">
        <v>688</v>
      </c>
      <c r="L248" s="3" t="s">
        <v>1</v>
      </c>
      <c r="M248">
        <v>2</v>
      </c>
      <c r="N248" s="9" t="s">
        <v>34</v>
      </c>
    </row>
    <row r="249" spans="1:14" x14ac:dyDescent="0.2">
      <c r="D249" s="4"/>
      <c r="E249" s="5"/>
      <c r="F249" s="6"/>
      <c r="G249" s="5"/>
      <c r="H249" s="5"/>
      <c r="I249" s="5"/>
      <c r="J249" s="5"/>
      <c r="K249" s="5"/>
      <c r="L249" s="6"/>
    </row>
    <row r="250" spans="1:14" x14ac:dyDescent="0.2">
      <c r="A250" t="s">
        <v>676</v>
      </c>
      <c r="B250">
        <v>0</v>
      </c>
      <c r="C250">
        <f>EXP(-B250)</f>
        <v>1</v>
      </c>
      <c r="D250" s="1" t="s">
        <v>18</v>
      </c>
      <c r="E250" s="2" t="s">
        <v>689</v>
      </c>
      <c r="F250" s="3" t="s">
        <v>20</v>
      </c>
      <c r="G250" s="2" t="s">
        <v>672</v>
      </c>
      <c r="H250" s="2">
        <v>0</v>
      </c>
      <c r="I250" s="2">
        <f>EXP(-H250)</f>
        <v>1</v>
      </c>
      <c r="J250" s="2" t="s">
        <v>18</v>
      </c>
      <c r="K250" s="2" t="s">
        <v>689</v>
      </c>
      <c r="L250" s="3" t="s">
        <v>1</v>
      </c>
      <c r="M250">
        <v>4</v>
      </c>
      <c r="N250" s="9" t="s">
        <v>37</v>
      </c>
    </row>
    <row r="251" spans="1:14" x14ac:dyDescent="0.2">
      <c r="A251" t="s">
        <v>665</v>
      </c>
      <c r="B251">
        <v>0.50600000000000001</v>
      </c>
      <c r="C251">
        <f>EXP(-B251)</f>
        <v>0.60290237150384207</v>
      </c>
      <c r="D251" s="4" t="s">
        <v>18</v>
      </c>
      <c r="E251" s="5" t="s">
        <v>688</v>
      </c>
      <c r="F251" s="6" t="s">
        <v>20</v>
      </c>
      <c r="G251" s="5" t="s">
        <v>661</v>
      </c>
      <c r="H251" s="5">
        <v>0</v>
      </c>
      <c r="I251" s="5">
        <f>EXP(-H251)</f>
        <v>1</v>
      </c>
      <c r="J251" s="5" t="s">
        <v>18</v>
      </c>
      <c r="K251" s="5" t="s">
        <v>688</v>
      </c>
      <c r="L251" s="6" t="s">
        <v>1</v>
      </c>
    </row>
    <row r="252" spans="1:14" x14ac:dyDescent="0.2">
      <c r="A252" t="s">
        <v>687</v>
      </c>
      <c r="B252">
        <v>0.46899999999999997</v>
      </c>
      <c r="C252">
        <f>EXP(-B252)</f>
        <v>0.62562758315631073</v>
      </c>
      <c r="D252" t="s">
        <v>20</v>
      </c>
      <c r="E252" t="s">
        <v>689</v>
      </c>
      <c r="F252" s="8" t="s">
        <v>20</v>
      </c>
      <c r="M252">
        <v>1</v>
      </c>
      <c r="N252" t="s">
        <v>35</v>
      </c>
    </row>
    <row r="253" spans="1:14" x14ac:dyDescent="0.2">
      <c r="A253" t="s">
        <v>641</v>
      </c>
      <c r="B253">
        <v>1.2729999999999999</v>
      </c>
      <c r="C253">
        <f>EXP(-B253)</f>
        <v>0.27999038939254761</v>
      </c>
      <c r="D253" t="s">
        <v>25</v>
      </c>
      <c r="E253" t="s">
        <v>689</v>
      </c>
      <c r="F253" s="8" t="s">
        <v>20</v>
      </c>
      <c r="M253">
        <v>1</v>
      </c>
      <c r="N253" t="s">
        <v>35</v>
      </c>
    </row>
  </sheetData>
  <sortState xmlns:xlrd2="http://schemas.microsoft.com/office/spreadsheetml/2017/richdata2" ref="A1:F252">
    <sortCondition ref="F1:F252"/>
    <sortCondition ref="D1:D252"/>
    <sortCondition descending="1" ref="E1:E25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BBAAB-A04D-D34D-BF87-C9269EAD6351}">
  <dimension ref="A1:F143"/>
  <sheetViews>
    <sheetView topLeftCell="A28" workbookViewId="0">
      <selection activeCell="D55" sqref="D55"/>
    </sheetView>
  </sheetViews>
  <sheetFormatPr baseColWidth="10" defaultRowHeight="16" x14ac:dyDescent="0.2"/>
  <cols>
    <col min="1" max="1" width="7" customWidth="1"/>
    <col min="3" max="3" width="10.83203125" style="10"/>
    <col min="5" max="5" width="7" customWidth="1"/>
  </cols>
  <sheetData>
    <row r="1" spans="1:6" x14ac:dyDescent="0.2">
      <c r="A1">
        <v>1</v>
      </c>
      <c r="B1" t="s">
        <v>6</v>
      </c>
      <c r="E1">
        <v>1</v>
      </c>
      <c r="F1" t="s">
        <v>6</v>
      </c>
    </row>
    <row r="2" spans="1:6" x14ac:dyDescent="0.2">
      <c r="A2">
        <v>1</v>
      </c>
      <c r="B2" t="s">
        <v>6</v>
      </c>
      <c r="E2">
        <v>1</v>
      </c>
      <c r="F2" t="s">
        <v>6</v>
      </c>
    </row>
    <row r="3" spans="1:6" x14ac:dyDescent="0.2">
      <c r="A3">
        <v>1</v>
      </c>
      <c r="B3" t="s">
        <v>6</v>
      </c>
      <c r="E3">
        <v>1</v>
      </c>
      <c r="F3" t="s">
        <v>6</v>
      </c>
    </row>
    <row r="4" spans="1:6" x14ac:dyDescent="0.2">
      <c r="A4">
        <v>1</v>
      </c>
      <c r="B4" t="s">
        <v>6</v>
      </c>
      <c r="E4">
        <v>1</v>
      </c>
      <c r="F4" t="s">
        <v>6</v>
      </c>
    </row>
    <row r="5" spans="1:6" x14ac:dyDescent="0.2">
      <c r="A5">
        <v>1</v>
      </c>
      <c r="B5" t="s">
        <v>6</v>
      </c>
      <c r="E5">
        <v>1</v>
      </c>
      <c r="F5" t="s">
        <v>6</v>
      </c>
    </row>
    <row r="6" spans="1:6" x14ac:dyDescent="0.2">
      <c r="A6">
        <v>1</v>
      </c>
      <c r="B6" t="s">
        <v>6</v>
      </c>
      <c r="E6">
        <v>1</v>
      </c>
      <c r="F6" t="s">
        <v>6</v>
      </c>
    </row>
    <row r="7" spans="1:6" x14ac:dyDescent="0.2">
      <c r="A7">
        <v>1</v>
      </c>
      <c r="B7" t="s">
        <v>35</v>
      </c>
      <c r="E7">
        <v>1</v>
      </c>
      <c r="F7" t="s">
        <v>35</v>
      </c>
    </row>
    <row r="8" spans="1:6" x14ac:dyDescent="0.2">
      <c r="A8">
        <v>1</v>
      </c>
      <c r="B8" t="s">
        <v>35</v>
      </c>
      <c r="E8">
        <v>1</v>
      </c>
      <c r="F8" t="s">
        <v>35</v>
      </c>
    </row>
    <row r="9" spans="1:6" x14ac:dyDescent="0.2">
      <c r="A9">
        <v>1</v>
      </c>
      <c r="B9" t="s">
        <v>35</v>
      </c>
      <c r="E9">
        <v>1</v>
      </c>
      <c r="F9" t="s">
        <v>35</v>
      </c>
    </row>
    <row r="10" spans="1:6" x14ac:dyDescent="0.2">
      <c r="A10">
        <v>1</v>
      </c>
      <c r="B10" t="s">
        <v>35</v>
      </c>
      <c r="C10" s="10">
        <v>10</v>
      </c>
      <c r="E10">
        <v>1</v>
      </c>
      <c r="F10" t="s">
        <v>35</v>
      </c>
    </row>
    <row r="11" spans="1:6" x14ac:dyDescent="0.2">
      <c r="A11">
        <v>1</v>
      </c>
      <c r="B11" t="s">
        <v>7</v>
      </c>
      <c r="E11">
        <v>1</v>
      </c>
      <c r="F11" t="s">
        <v>7</v>
      </c>
    </row>
    <row r="12" spans="1:6" x14ac:dyDescent="0.2">
      <c r="A12">
        <v>1</v>
      </c>
      <c r="B12" t="s">
        <v>7</v>
      </c>
      <c r="E12">
        <v>1</v>
      </c>
      <c r="F12" t="s">
        <v>7</v>
      </c>
    </row>
    <row r="13" spans="1:6" x14ac:dyDescent="0.2">
      <c r="A13">
        <v>1</v>
      </c>
      <c r="B13" t="s">
        <v>7</v>
      </c>
      <c r="E13">
        <v>1</v>
      </c>
      <c r="F13" t="s">
        <v>7</v>
      </c>
    </row>
    <row r="14" spans="1:6" x14ac:dyDescent="0.2">
      <c r="A14">
        <v>1</v>
      </c>
      <c r="B14" s="9" t="s">
        <v>7</v>
      </c>
      <c r="E14">
        <v>1</v>
      </c>
      <c r="F14" s="9" t="s">
        <v>7</v>
      </c>
    </row>
    <row r="15" spans="1:6" x14ac:dyDescent="0.2">
      <c r="A15">
        <v>1</v>
      </c>
      <c r="B15" t="s">
        <v>7</v>
      </c>
      <c r="E15">
        <v>1</v>
      </c>
      <c r="F15" t="s">
        <v>7</v>
      </c>
    </row>
    <row r="16" spans="1:6" x14ac:dyDescent="0.2">
      <c r="A16">
        <v>1</v>
      </c>
      <c r="B16" t="s">
        <v>7</v>
      </c>
      <c r="E16">
        <v>1</v>
      </c>
      <c r="F16" t="s">
        <v>7</v>
      </c>
    </row>
    <row r="17" spans="1:6" x14ac:dyDescent="0.2">
      <c r="A17">
        <v>1</v>
      </c>
      <c r="B17" t="s">
        <v>7</v>
      </c>
      <c r="E17">
        <v>1</v>
      </c>
      <c r="F17" t="s">
        <v>7</v>
      </c>
    </row>
    <row r="18" spans="1:6" x14ac:dyDescent="0.2">
      <c r="A18">
        <v>1</v>
      </c>
      <c r="B18" t="s">
        <v>7</v>
      </c>
      <c r="E18">
        <v>1</v>
      </c>
      <c r="F18" t="s">
        <v>7</v>
      </c>
    </row>
    <row r="19" spans="1:6" x14ac:dyDescent="0.2">
      <c r="A19">
        <v>1</v>
      </c>
      <c r="B19" t="s">
        <v>7</v>
      </c>
      <c r="E19">
        <v>1</v>
      </c>
      <c r="F19" t="s">
        <v>7</v>
      </c>
    </row>
    <row r="20" spans="1:6" x14ac:dyDescent="0.2">
      <c r="A20">
        <v>1</v>
      </c>
      <c r="B20" t="s">
        <v>7</v>
      </c>
      <c r="E20">
        <v>1</v>
      </c>
      <c r="F20" t="s">
        <v>7</v>
      </c>
    </row>
    <row r="21" spans="1:6" x14ac:dyDescent="0.2">
      <c r="A21">
        <v>1</v>
      </c>
      <c r="B21" t="s">
        <v>7</v>
      </c>
      <c r="E21">
        <v>1</v>
      </c>
      <c r="F21" t="s">
        <v>7</v>
      </c>
    </row>
    <row r="22" spans="1:6" x14ac:dyDescent="0.2">
      <c r="A22">
        <v>1</v>
      </c>
      <c r="B22" t="s">
        <v>7</v>
      </c>
      <c r="E22">
        <v>1</v>
      </c>
      <c r="F22" t="s">
        <v>7</v>
      </c>
    </row>
    <row r="23" spans="1:6" x14ac:dyDescent="0.2">
      <c r="A23">
        <v>1</v>
      </c>
      <c r="B23" t="s">
        <v>7</v>
      </c>
      <c r="E23">
        <v>1</v>
      </c>
      <c r="F23" t="s">
        <v>7</v>
      </c>
    </row>
    <row r="24" spans="1:6" x14ac:dyDescent="0.2">
      <c r="A24">
        <v>1</v>
      </c>
      <c r="B24" t="s">
        <v>690</v>
      </c>
      <c r="C24" s="10">
        <f>24-10</f>
        <v>14</v>
      </c>
      <c r="E24">
        <v>1</v>
      </c>
      <c r="F24" t="s">
        <v>690</v>
      </c>
    </row>
    <row r="25" spans="1:6" x14ac:dyDescent="0.2">
      <c r="A25">
        <v>1</v>
      </c>
      <c r="B25" t="s">
        <v>3</v>
      </c>
      <c r="E25">
        <v>1</v>
      </c>
      <c r="F25" t="s">
        <v>3</v>
      </c>
    </row>
    <row r="26" spans="1:6" x14ac:dyDescent="0.2">
      <c r="A26">
        <v>1</v>
      </c>
      <c r="B26" t="s">
        <v>3</v>
      </c>
      <c r="C26" s="10">
        <v>2</v>
      </c>
      <c r="E26">
        <v>1</v>
      </c>
      <c r="F26" t="s">
        <v>3</v>
      </c>
    </row>
    <row r="27" spans="1:6" x14ac:dyDescent="0.2">
      <c r="A27">
        <v>1</v>
      </c>
      <c r="B27" t="s">
        <v>4</v>
      </c>
      <c r="E27">
        <v>1</v>
      </c>
      <c r="F27" t="s">
        <v>4</v>
      </c>
    </row>
    <row r="28" spans="1:6" x14ac:dyDescent="0.2">
      <c r="A28">
        <v>1</v>
      </c>
      <c r="B28" t="s">
        <v>4</v>
      </c>
      <c r="E28">
        <v>1</v>
      </c>
      <c r="F28" t="s">
        <v>4</v>
      </c>
    </row>
    <row r="29" spans="1:6" x14ac:dyDescent="0.2">
      <c r="A29">
        <v>1</v>
      </c>
      <c r="B29" t="s">
        <v>4</v>
      </c>
      <c r="E29">
        <v>1</v>
      </c>
      <c r="F29" t="s">
        <v>4</v>
      </c>
    </row>
    <row r="30" spans="1:6" x14ac:dyDescent="0.2">
      <c r="A30">
        <v>1</v>
      </c>
      <c r="B30" t="s">
        <v>4</v>
      </c>
      <c r="E30">
        <v>1</v>
      </c>
      <c r="F30" t="s">
        <v>4</v>
      </c>
    </row>
    <row r="31" spans="1:6" x14ac:dyDescent="0.2">
      <c r="A31">
        <v>1</v>
      </c>
      <c r="B31" t="s">
        <v>4</v>
      </c>
      <c r="E31">
        <v>1</v>
      </c>
      <c r="F31" t="s">
        <v>4</v>
      </c>
    </row>
    <row r="32" spans="1:6" x14ac:dyDescent="0.2">
      <c r="A32">
        <v>1</v>
      </c>
      <c r="B32" t="s">
        <v>4</v>
      </c>
      <c r="E32">
        <v>1</v>
      </c>
      <c r="F32" t="s">
        <v>4</v>
      </c>
    </row>
    <row r="33" spans="1:6" x14ac:dyDescent="0.2">
      <c r="A33">
        <v>1</v>
      </c>
      <c r="B33" t="s">
        <v>4</v>
      </c>
      <c r="E33">
        <v>1</v>
      </c>
      <c r="F33" t="s">
        <v>4</v>
      </c>
    </row>
    <row r="34" spans="1:6" x14ac:dyDescent="0.2">
      <c r="A34">
        <v>1</v>
      </c>
      <c r="B34" t="s">
        <v>4</v>
      </c>
      <c r="E34">
        <v>1</v>
      </c>
      <c r="F34" t="s">
        <v>4</v>
      </c>
    </row>
    <row r="35" spans="1:6" x14ac:dyDescent="0.2">
      <c r="A35">
        <v>1</v>
      </c>
      <c r="B35" t="s">
        <v>4</v>
      </c>
      <c r="E35">
        <v>1</v>
      </c>
      <c r="F35" t="s">
        <v>4</v>
      </c>
    </row>
    <row r="36" spans="1:6" x14ac:dyDescent="0.2">
      <c r="A36">
        <v>1</v>
      </c>
      <c r="B36" t="s">
        <v>4</v>
      </c>
      <c r="E36">
        <v>1</v>
      </c>
      <c r="F36" t="s">
        <v>4</v>
      </c>
    </row>
    <row r="37" spans="1:6" x14ac:dyDescent="0.2">
      <c r="A37">
        <v>1</v>
      </c>
      <c r="B37" t="s">
        <v>4</v>
      </c>
      <c r="E37">
        <v>1</v>
      </c>
      <c r="F37" t="s">
        <v>4</v>
      </c>
    </row>
    <row r="38" spans="1:6" x14ac:dyDescent="0.2">
      <c r="A38">
        <v>1</v>
      </c>
      <c r="B38" t="s">
        <v>4</v>
      </c>
      <c r="E38">
        <v>1</v>
      </c>
      <c r="F38" t="s">
        <v>4</v>
      </c>
    </row>
    <row r="39" spans="1:6" x14ac:dyDescent="0.2">
      <c r="A39">
        <v>1</v>
      </c>
      <c r="B39" t="s">
        <v>4</v>
      </c>
      <c r="E39">
        <v>1</v>
      </c>
      <c r="F39" t="s">
        <v>4</v>
      </c>
    </row>
    <row r="40" spans="1:6" x14ac:dyDescent="0.2">
      <c r="A40">
        <v>1</v>
      </c>
      <c r="B40" t="s">
        <v>4</v>
      </c>
      <c r="E40">
        <v>1</v>
      </c>
      <c r="F40" t="s">
        <v>4</v>
      </c>
    </row>
    <row r="41" spans="1:6" x14ac:dyDescent="0.2">
      <c r="A41">
        <v>1</v>
      </c>
      <c r="B41" t="s">
        <v>4</v>
      </c>
      <c r="E41">
        <v>1</v>
      </c>
      <c r="F41" t="s">
        <v>4</v>
      </c>
    </row>
    <row r="42" spans="1:6" x14ac:dyDescent="0.2">
      <c r="A42">
        <v>1</v>
      </c>
      <c r="B42" t="s">
        <v>4</v>
      </c>
      <c r="E42">
        <v>1</v>
      </c>
      <c r="F42" t="s">
        <v>4</v>
      </c>
    </row>
    <row r="43" spans="1:6" x14ac:dyDescent="0.2">
      <c r="A43">
        <v>1</v>
      </c>
      <c r="B43" t="s">
        <v>4</v>
      </c>
      <c r="E43">
        <v>1</v>
      </c>
      <c r="F43" t="s">
        <v>4</v>
      </c>
    </row>
    <row r="44" spans="1:6" x14ac:dyDescent="0.2">
      <c r="A44">
        <v>1</v>
      </c>
      <c r="B44" t="s">
        <v>4</v>
      </c>
      <c r="E44">
        <v>1</v>
      </c>
      <c r="F44" t="s">
        <v>4</v>
      </c>
    </row>
    <row r="45" spans="1:6" x14ac:dyDescent="0.2">
      <c r="A45">
        <v>1</v>
      </c>
      <c r="B45" t="s">
        <v>4</v>
      </c>
      <c r="C45" s="10">
        <f>45-26</f>
        <v>19</v>
      </c>
      <c r="E45">
        <v>1</v>
      </c>
      <c r="F45" t="s">
        <v>4</v>
      </c>
    </row>
    <row r="46" spans="1:6" x14ac:dyDescent="0.2">
      <c r="A46">
        <v>2</v>
      </c>
      <c r="B46" s="9" t="s">
        <v>34</v>
      </c>
      <c r="E46">
        <v>2</v>
      </c>
      <c r="F46" s="9" t="s">
        <v>34</v>
      </c>
    </row>
    <row r="47" spans="1:6" x14ac:dyDescent="0.2">
      <c r="A47">
        <v>2</v>
      </c>
      <c r="B47" t="s">
        <v>34</v>
      </c>
      <c r="E47">
        <v>2</v>
      </c>
      <c r="F47" t="s">
        <v>34</v>
      </c>
    </row>
    <row r="48" spans="1:6" x14ac:dyDescent="0.2">
      <c r="A48">
        <v>2</v>
      </c>
      <c r="B48" t="s">
        <v>34</v>
      </c>
      <c r="E48">
        <v>2</v>
      </c>
      <c r="F48" t="s">
        <v>34</v>
      </c>
    </row>
    <row r="49" spans="1:6" x14ac:dyDescent="0.2">
      <c r="A49">
        <v>2</v>
      </c>
      <c r="B49" s="9" t="s">
        <v>34</v>
      </c>
      <c r="E49">
        <v>2</v>
      </c>
      <c r="F49" s="9" t="s">
        <v>34</v>
      </c>
    </row>
    <row r="50" spans="1:6" x14ac:dyDescent="0.2">
      <c r="A50">
        <v>2</v>
      </c>
      <c r="B50" s="9" t="s">
        <v>34</v>
      </c>
      <c r="E50">
        <v>2</v>
      </c>
      <c r="F50" s="9" t="s">
        <v>34</v>
      </c>
    </row>
    <row r="51" spans="1:6" x14ac:dyDescent="0.2">
      <c r="A51">
        <v>2</v>
      </c>
      <c r="B51" s="9" t="s">
        <v>34</v>
      </c>
      <c r="C51" s="10">
        <f>51-45</f>
        <v>6</v>
      </c>
      <c r="E51">
        <v>2</v>
      </c>
      <c r="F51" s="9" t="s">
        <v>34</v>
      </c>
    </row>
    <row r="52" spans="1:6" x14ac:dyDescent="0.2">
      <c r="A52">
        <v>2</v>
      </c>
      <c r="B52" t="s">
        <v>33</v>
      </c>
      <c r="E52">
        <v>2</v>
      </c>
      <c r="F52" t="s">
        <v>33</v>
      </c>
    </row>
    <row r="53" spans="1:6" x14ac:dyDescent="0.2">
      <c r="A53">
        <v>2</v>
      </c>
      <c r="B53" t="s">
        <v>33</v>
      </c>
      <c r="E53">
        <v>2</v>
      </c>
      <c r="F53" t="s">
        <v>33</v>
      </c>
    </row>
    <row r="54" spans="1:6" x14ac:dyDescent="0.2">
      <c r="A54">
        <v>2</v>
      </c>
      <c r="B54" t="s">
        <v>33</v>
      </c>
      <c r="C54" s="10">
        <v>3</v>
      </c>
      <c r="E54">
        <v>2</v>
      </c>
      <c r="F54" t="s">
        <v>33</v>
      </c>
    </row>
    <row r="55" spans="1:6" x14ac:dyDescent="0.2">
      <c r="A55">
        <v>2</v>
      </c>
      <c r="B55" t="s">
        <v>21</v>
      </c>
      <c r="E55">
        <v>2</v>
      </c>
      <c r="F55" t="s">
        <v>21</v>
      </c>
    </row>
    <row r="56" spans="1:6" x14ac:dyDescent="0.2">
      <c r="A56">
        <v>2</v>
      </c>
      <c r="B56" t="s">
        <v>21</v>
      </c>
      <c r="E56">
        <v>2</v>
      </c>
      <c r="F56" t="s">
        <v>21</v>
      </c>
    </row>
    <row r="57" spans="1:6" x14ac:dyDescent="0.2">
      <c r="A57">
        <v>2</v>
      </c>
      <c r="B57" t="s">
        <v>21</v>
      </c>
      <c r="E57">
        <v>2</v>
      </c>
      <c r="F57" t="s">
        <v>21</v>
      </c>
    </row>
    <row r="58" spans="1:6" x14ac:dyDescent="0.2">
      <c r="A58">
        <v>2</v>
      </c>
      <c r="B58" t="s">
        <v>21</v>
      </c>
      <c r="C58" s="10">
        <f>58-54</f>
        <v>4</v>
      </c>
      <c r="E58">
        <v>2</v>
      </c>
      <c r="F58" t="s">
        <v>21</v>
      </c>
    </row>
    <row r="59" spans="1:6" x14ac:dyDescent="0.2">
      <c r="A59">
        <v>2</v>
      </c>
      <c r="B59" t="s">
        <v>31</v>
      </c>
      <c r="E59">
        <v>2</v>
      </c>
      <c r="F59" t="s">
        <v>31</v>
      </c>
    </row>
    <row r="60" spans="1:6" x14ac:dyDescent="0.2">
      <c r="A60">
        <v>2</v>
      </c>
      <c r="B60" t="s">
        <v>691</v>
      </c>
      <c r="C60" s="10">
        <v>2</v>
      </c>
      <c r="E60">
        <v>2</v>
      </c>
      <c r="F60" t="s">
        <v>691</v>
      </c>
    </row>
    <row r="61" spans="1:6" x14ac:dyDescent="0.2">
      <c r="A61">
        <v>2</v>
      </c>
      <c r="B61" t="s">
        <v>29</v>
      </c>
      <c r="E61">
        <v>2</v>
      </c>
      <c r="F61" t="s">
        <v>29</v>
      </c>
    </row>
    <row r="62" spans="1:6" x14ac:dyDescent="0.2">
      <c r="A62">
        <v>2</v>
      </c>
      <c r="B62" t="s">
        <v>29</v>
      </c>
      <c r="E62">
        <v>2</v>
      </c>
      <c r="F62" t="s">
        <v>29</v>
      </c>
    </row>
    <row r="63" spans="1:6" x14ac:dyDescent="0.2">
      <c r="A63">
        <v>2</v>
      </c>
      <c r="B63" t="s">
        <v>29</v>
      </c>
      <c r="E63">
        <v>2</v>
      </c>
      <c r="F63" t="s">
        <v>29</v>
      </c>
    </row>
    <row r="64" spans="1:6" x14ac:dyDescent="0.2">
      <c r="A64">
        <v>2</v>
      </c>
      <c r="B64" t="s">
        <v>29</v>
      </c>
      <c r="E64">
        <v>2</v>
      </c>
      <c r="F64" t="s">
        <v>29</v>
      </c>
    </row>
    <row r="65" spans="1:6" x14ac:dyDescent="0.2">
      <c r="A65">
        <v>2</v>
      </c>
      <c r="B65" s="9" t="s">
        <v>29</v>
      </c>
      <c r="E65">
        <v>2</v>
      </c>
      <c r="F65" s="9" t="s">
        <v>29</v>
      </c>
    </row>
    <row r="66" spans="1:6" x14ac:dyDescent="0.2">
      <c r="A66">
        <v>2</v>
      </c>
      <c r="B66" s="9" t="s">
        <v>29</v>
      </c>
      <c r="E66">
        <v>2</v>
      </c>
      <c r="F66" s="9" t="s">
        <v>29</v>
      </c>
    </row>
    <row r="67" spans="1:6" x14ac:dyDescent="0.2">
      <c r="A67">
        <v>2</v>
      </c>
      <c r="B67" t="s">
        <v>29</v>
      </c>
      <c r="E67">
        <v>2</v>
      </c>
      <c r="F67" t="s">
        <v>29</v>
      </c>
    </row>
    <row r="68" spans="1:6" x14ac:dyDescent="0.2">
      <c r="A68">
        <v>2</v>
      </c>
      <c r="B68" s="9" t="s">
        <v>29</v>
      </c>
      <c r="E68">
        <v>2</v>
      </c>
      <c r="F68" s="9" t="s">
        <v>29</v>
      </c>
    </row>
    <row r="69" spans="1:6" x14ac:dyDescent="0.2">
      <c r="A69">
        <v>2</v>
      </c>
      <c r="B69" s="9" t="s">
        <v>29</v>
      </c>
      <c r="E69">
        <v>2</v>
      </c>
      <c r="F69" s="9" t="s">
        <v>29</v>
      </c>
    </row>
    <row r="70" spans="1:6" x14ac:dyDescent="0.2">
      <c r="A70">
        <v>2</v>
      </c>
      <c r="B70" s="9" t="s">
        <v>29</v>
      </c>
      <c r="E70">
        <v>2</v>
      </c>
      <c r="F70" s="9" t="s">
        <v>29</v>
      </c>
    </row>
    <row r="71" spans="1:6" x14ac:dyDescent="0.2">
      <c r="A71">
        <v>2</v>
      </c>
      <c r="B71" s="9" t="s">
        <v>29</v>
      </c>
      <c r="E71">
        <v>2</v>
      </c>
      <c r="F71" s="9" t="s">
        <v>29</v>
      </c>
    </row>
    <row r="72" spans="1:6" x14ac:dyDescent="0.2">
      <c r="A72">
        <v>2</v>
      </c>
      <c r="B72" s="9" t="s">
        <v>29</v>
      </c>
      <c r="E72">
        <v>2</v>
      </c>
      <c r="F72" s="9" t="s">
        <v>29</v>
      </c>
    </row>
    <row r="73" spans="1:6" x14ac:dyDescent="0.2">
      <c r="A73">
        <v>2</v>
      </c>
      <c r="B73" s="9" t="s">
        <v>29</v>
      </c>
      <c r="E73">
        <v>2</v>
      </c>
      <c r="F73" s="9" t="s">
        <v>29</v>
      </c>
    </row>
    <row r="74" spans="1:6" x14ac:dyDescent="0.2">
      <c r="A74">
        <v>2</v>
      </c>
      <c r="B74" s="9" t="s">
        <v>29</v>
      </c>
      <c r="E74">
        <v>2</v>
      </c>
      <c r="F74" s="9" t="s">
        <v>29</v>
      </c>
    </row>
    <row r="75" spans="1:6" x14ac:dyDescent="0.2">
      <c r="A75">
        <v>2</v>
      </c>
      <c r="B75" s="9" t="s">
        <v>29</v>
      </c>
      <c r="E75">
        <v>2</v>
      </c>
      <c r="F75" s="9" t="s">
        <v>29</v>
      </c>
    </row>
    <row r="76" spans="1:6" x14ac:dyDescent="0.2">
      <c r="A76">
        <v>2</v>
      </c>
      <c r="B76" t="s">
        <v>29</v>
      </c>
      <c r="E76">
        <v>2</v>
      </c>
      <c r="F76" t="s">
        <v>29</v>
      </c>
    </row>
    <row r="77" spans="1:6" x14ac:dyDescent="0.2">
      <c r="A77">
        <v>2</v>
      </c>
      <c r="B77" t="s">
        <v>29</v>
      </c>
      <c r="E77">
        <v>2</v>
      </c>
      <c r="F77" t="s">
        <v>29</v>
      </c>
    </row>
    <row r="78" spans="1:6" x14ac:dyDescent="0.2">
      <c r="A78">
        <v>2</v>
      </c>
      <c r="B78" t="s">
        <v>29</v>
      </c>
      <c r="E78">
        <v>2</v>
      </c>
      <c r="F78" t="s">
        <v>29</v>
      </c>
    </row>
    <row r="79" spans="1:6" x14ac:dyDescent="0.2">
      <c r="A79">
        <v>2</v>
      </c>
      <c r="B79" t="s">
        <v>29</v>
      </c>
      <c r="E79">
        <v>2</v>
      </c>
      <c r="F79" t="s">
        <v>29</v>
      </c>
    </row>
    <row r="80" spans="1:6" x14ac:dyDescent="0.2">
      <c r="A80">
        <v>2</v>
      </c>
      <c r="B80" t="s">
        <v>29</v>
      </c>
      <c r="E80">
        <v>2</v>
      </c>
      <c r="F80" t="s">
        <v>29</v>
      </c>
    </row>
    <row r="81" spans="1:6" x14ac:dyDescent="0.2">
      <c r="A81">
        <v>2</v>
      </c>
      <c r="B81" t="s">
        <v>29</v>
      </c>
      <c r="E81">
        <v>2</v>
      </c>
      <c r="F81" t="s">
        <v>29</v>
      </c>
    </row>
    <row r="82" spans="1:6" x14ac:dyDescent="0.2">
      <c r="A82">
        <v>2</v>
      </c>
      <c r="B82" t="s">
        <v>694</v>
      </c>
      <c r="C82" s="10">
        <f>82-60</f>
        <v>22</v>
      </c>
      <c r="E82">
        <v>2</v>
      </c>
      <c r="F82" t="s">
        <v>694</v>
      </c>
    </row>
    <row r="83" spans="1:6" x14ac:dyDescent="0.2">
      <c r="A83">
        <v>2</v>
      </c>
      <c r="B83" t="s">
        <v>32</v>
      </c>
      <c r="E83">
        <v>2</v>
      </c>
      <c r="F83" t="s">
        <v>32</v>
      </c>
    </row>
    <row r="84" spans="1:6" x14ac:dyDescent="0.2">
      <c r="A84">
        <v>2</v>
      </c>
      <c r="B84" t="s">
        <v>32</v>
      </c>
      <c r="E84">
        <v>2</v>
      </c>
      <c r="F84" t="s">
        <v>32</v>
      </c>
    </row>
    <row r="85" spans="1:6" x14ac:dyDescent="0.2">
      <c r="A85">
        <v>2</v>
      </c>
      <c r="B85" t="s">
        <v>32</v>
      </c>
      <c r="C85" s="10">
        <v>3</v>
      </c>
      <c r="E85">
        <v>2</v>
      </c>
      <c r="F85" t="s">
        <v>32</v>
      </c>
    </row>
    <row r="86" spans="1:6" x14ac:dyDescent="0.2">
      <c r="A86">
        <v>3</v>
      </c>
      <c r="B86" t="s">
        <v>36</v>
      </c>
      <c r="E86">
        <v>3</v>
      </c>
      <c r="F86" t="s">
        <v>36</v>
      </c>
    </row>
    <row r="87" spans="1:6" x14ac:dyDescent="0.2">
      <c r="A87">
        <v>3</v>
      </c>
      <c r="B87" t="s">
        <v>36</v>
      </c>
      <c r="E87">
        <v>3</v>
      </c>
      <c r="F87" t="s">
        <v>36</v>
      </c>
    </row>
    <row r="88" spans="1:6" x14ac:dyDescent="0.2">
      <c r="A88">
        <v>3</v>
      </c>
      <c r="B88" t="s">
        <v>692</v>
      </c>
      <c r="C88" s="10">
        <v>3</v>
      </c>
      <c r="E88">
        <v>3</v>
      </c>
      <c r="F88" t="s">
        <v>692</v>
      </c>
    </row>
    <row r="89" spans="1:6" x14ac:dyDescent="0.2">
      <c r="A89">
        <v>3</v>
      </c>
      <c r="B89" t="s">
        <v>27</v>
      </c>
      <c r="E89">
        <v>3</v>
      </c>
      <c r="F89" t="s">
        <v>27</v>
      </c>
    </row>
    <row r="90" spans="1:6" x14ac:dyDescent="0.2">
      <c r="A90">
        <v>3</v>
      </c>
      <c r="B90" t="s">
        <v>27</v>
      </c>
      <c r="E90">
        <v>3</v>
      </c>
      <c r="F90" t="s">
        <v>27</v>
      </c>
    </row>
    <row r="91" spans="1:6" x14ac:dyDescent="0.2">
      <c r="A91">
        <v>3</v>
      </c>
      <c r="B91" t="s">
        <v>27</v>
      </c>
      <c r="E91">
        <v>3</v>
      </c>
      <c r="F91" t="s">
        <v>27</v>
      </c>
    </row>
    <row r="92" spans="1:6" x14ac:dyDescent="0.2">
      <c r="A92">
        <v>3</v>
      </c>
      <c r="B92" t="s">
        <v>27</v>
      </c>
      <c r="E92">
        <v>3</v>
      </c>
      <c r="F92" t="s">
        <v>27</v>
      </c>
    </row>
    <row r="93" spans="1:6" x14ac:dyDescent="0.2">
      <c r="A93">
        <v>3</v>
      </c>
      <c r="B93" t="s">
        <v>27</v>
      </c>
      <c r="E93">
        <v>3</v>
      </c>
      <c r="F93" t="s">
        <v>27</v>
      </c>
    </row>
    <row r="94" spans="1:6" x14ac:dyDescent="0.2">
      <c r="A94">
        <v>3</v>
      </c>
      <c r="B94" t="s">
        <v>27</v>
      </c>
      <c r="E94">
        <v>3</v>
      </c>
      <c r="F94" t="s">
        <v>27</v>
      </c>
    </row>
    <row r="95" spans="1:6" x14ac:dyDescent="0.2">
      <c r="A95">
        <v>3</v>
      </c>
      <c r="B95" t="s">
        <v>27</v>
      </c>
      <c r="E95">
        <v>3</v>
      </c>
      <c r="F95" t="s">
        <v>27</v>
      </c>
    </row>
    <row r="96" spans="1:6" x14ac:dyDescent="0.2">
      <c r="A96">
        <v>3</v>
      </c>
      <c r="B96" t="s">
        <v>27</v>
      </c>
      <c r="E96">
        <v>3</v>
      </c>
      <c r="F96" t="s">
        <v>27</v>
      </c>
    </row>
    <row r="97" spans="1:6" x14ac:dyDescent="0.2">
      <c r="A97">
        <v>3</v>
      </c>
      <c r="B97" t="s">
        <v>27</v>
      </c>
      <c r="E97">
        <v>3</v>
      </c>
      <c r="F97" t="s">
        <v>27</v>
      </c>
    </row>
    <row r="98" spans="1:6" x14ac:dyDescent="0.2">
      <c r="A98">
        <v>3</v>
      </c>
      <c r="B98" t="s">
        <v>27</v>
      </c>
      <c r="E98">
        <v>3</v>
      </c>
      <c r="F98" t="s">
        <v>27</v>
      </c>
    </row>
    <row r="99" spans="1:6" x14ac:dyDescent="0.2">
      <c r="A99">
        <v>3</v>
      </c>
      <c r="B99" t="s">
        <v>27</v>
      </c>
      <c r="E99">
        <v>3</v>
      </c>
      <c r="F99" t="s">
        <v>27</v>
      </c>
    </row>
    <row r="100" spans="1:6" x14ac:dyDescent="0.2">
      <c r="A100">
        <v>3</v>
      </c>
      <c r="B100" t="s">
        <v>27</v>
      </c>
      <c r="E100">
        <v>3</v>
      </c>
      <c r="F100" t="s">
        <v>27</v>
      </c>
    </row>
    <row r="101" spans="1:6" x14ac:dyDescent="0.2">
      <c r="A101">
        <v>3</v>
      </c>
      <c r="B101" t="s">
        <v>27</v>
      </c>
      <c r="E101">
        <v>3</v>
      </c>
      <c r="F101" t="s">
        <v>27</v>
      </c>
    </row>
    <row r="102" spans="1:6" x14ac:dyDescent="0.2">
      <c r="A102">
        <v>3</v>
      </c>
      <c r="B102" t="s">
        <v>27</v>
      </c>
      <c r="E102">
        <v>3</v>
      </c>
      <c r="F102" t="s">
        <v>27</v>
      </c>
    </row>
    <row r="103" spans="1:6" x14ac:dyDescent="0.2">
      <c r="A103">
        <v>3</v>
      </c>
      <c r="B103" t="s">
        <v>27</v>
      </c>
      <c r="E103">
        <v>3</v>
      </c>
      <c r="F103" t="s">
        <v>27</v>
      </c>
    </row>
    <row r="104" spans="1:6" x14ac:dyDescent="0.2">
      <c r="A104">
        <v>3</v>
      </c>
      <c r="B104" t="s">
        <v>693</v>
      </c>
      <c r="E104">
        <v>3</v>
      </c>
      <c r="F104" t="s">
        <v>693</v>
      </c>
    </row>
    <row r="105" spans="1:6" x14ac:dyDescent="0.2">
      <c r="A105">
        <v>3</v>
      </c>
      <c r="B105" t="s">
        <v>693</v>
      </c>
      <c r="E105">
        <v>3</v>
      </c>
      <c r="F105" t="s">
        <v>693</v>
      </c>
    </row>
    <row r="106" spans="1:6" x14ac:dyDescent="0.2">
      <c r="A106">
        <v>3</v>
      </c>
      <c r="B106" t="s">
        <v>693</v>
      </c>
      <c r="C106" s="10">
        <f>106-88</f>
        <v>18</v>
      </c>
      <c r="E106">
        <v>3</v>
      </c>
      <c r="F106" t="s">
        <v>693</v>
      </c>
    </row>
    <row r="107" spans="1:6" x14ac:dyDescent="0.2">
      <c r="A107">
        <v>3</v>
      </c>
      <c r="B107" t="s">
        <v>30</v>
      </c>
      <c r="E107">
        <v>3</v>
      </c>
      <c r="F107" t="s">
        <v>30</v>
      </c>
    </row>
    <row r="108" spans="1:6" x14ac:dyDescent="0.2">
      <c r="A108">
        <v>3</v>
      </c>
      <c r="B108" s="9" t="s">
        <v>30</v>
      </c>
      <c r="C108" s="10">
        <v>2</v>
      </c>
      <c r="E108">
        <v>3</v>
      </c>
      <c r="F108" s="9" t="s">
        <v>30</v>
      </c>
    </row>
    <row r="109" spans="1:6" x14ac:dyDescent="0.2">
      <c r="A109">
        <v>3</v>
      </c>
      <c r="B109" t="s">
        <v>28</v>
      </c>
      <c r="E109">
        <v>3</v>
      </c>
      <c r="F109" t="s">
        <v>28</v>
      </c>
    </row>
    <row r="110" spans="1:6" x14ac:dyDescent="0.2">
      <c r="A110">
        <v>3</v>
      </c>
      <c r="B110" s="9" t="s">
        <v>28</v>
      </c>
      <c r="E110">
        <v>3</v>
      </c>
      <c r="F110" s="9" t="s">
        <v>28</v>
      </c>
    </row>
    <row r="111" spans="1:6" x14ac:dyDescent="0.2">
      <c r="A111">
        <v>3</v>
      </c>
      <c r="B111" s="9" t="s">
        <v>28</v>
      </c>
      <c r="E111">
        <v>3</v>
      </c>
      <c r="F111" s="9" t="s">
        <v>28</v>
      </c>
    </row>
    <row r="112" spans="1:6" x14ac:dyDescent="0.2">
      <c r="A112">
        <v>3</v>
      </c>
      <c r="B112" s="9" t="s">
        <v>28</v>
      </c>
      <c r="E112">
        <v>3</v>
      </c>
      <c r="F112" s="9" t="s">
        <v>28</v>
      </c>
    </row>
    <row r="113" spans="1:6" x14ac:dyDescent="0.2">
      <c r="A113">
        <v>3</v>
      </c>
      <c r="B113" s="9" t="s">
        <v>28</v>
      </c>
      <c r="E113">
        <v>3</v>
      </c>
      <c r="F113" s="9" t="s">
        <v>28</v>
      </c>
    </row>
    <row r="114" spans="1:6" x14ac:dyDescent="0.2">
      <c r="A114">
        <v>3</v>
      </c>
      <c r="B114" s="9" t="s">
        <v>28</v>
      </c>
      <c r="E114">
        <v>3</v>
      </c>
      <c r="F114" s="9" t="s">
        <v>28</v>
      </c>
    </row>
    <row r="115" spans="1:6" x14ac:dyDescent="0.2">
      <c r="A115">
        <v>3</v>
      </c>
      <c r="B115" s="9" t="s">
        <v>28</v>
      </c>
      <c r="E115">
        <v>3</v>
      </c>
      <c r="F115" s="9" t="s">
        <v>28</v>
      </c>
    </row>
    <row r="116" spans="1:6" x14ac:dyDescent="0.2">
      <c r="A116">
        <v>3</v>
      </c>
      <c r="B116" s="9" t="s">
        <v>28</v>
      </c>
      <c r="E116">
        <v>3</v>
      </c>
      <c r="F116" s="9" t="s">
        <v>28</v>
      </c>
    </row>
    <row r="117" spans="1:6" x14ac:dyDescent="0.2">
      <c r="A117">
        <v>3</v>
      </c>
      <c r="B117" t="s">
        <v>28</v>
      </c>
      <c r="C117" s="10">
        <f>117-108</f>
        <v>9</v>
      </c>
      <c r="E117">
        <v>3</v>
      </c>
      <c r="F117" t="s">
        <v>28</v>
      </c>
    </row>
    <row r="118" spans="1:6" x14ac:dyDescent="0.2">
      <c r="A118">
        <v>4</v>
      </c>
      <c r="B118" t="s">
        <v>37</v>
      </c>
      <c r="E118">
        <v>4</v>
      </c>
      <c r="F118" t="s">
        <v>37</v>
      </c>
    </row>
    <row r="119" spans="1:6" x14ac:dyDescent="0.2">
      <c r="A119">
        <v>4</v>
      </c>
      <c r="B119" t="s">
        <v>37</v>
      </c>
      <c r="E119">
        <v>4</v>
      </c>
      <c r="F119" t="s">
        <v>37</v>
      </c>
    </row>
    <row r="120" spans="1:6" x14ac:dyDescent="0.2">
      <c r="A120">
        <v>4</v>
      </c>
      <c r="B120" t="s">
        <v>37</v>
      </c>
      <c r="E120">
        <v>4</v>
      </c>
      <c r="F120" t="s">
        <v>37</v>
      </c>
    </row>
    <row r="121" spans="1:6" x14ac:dyDescent="0.2">
      <c r="A121">
        <v>4</v>
      </c>
      <c r="B121" t="s">
        <v>37</v>
      </c>
      <c r="E121">
        <v>4</v>
      </c>
      <c r="F121" t="s">
        <v>37</v>
      </c>
    </row>
    <row r="122" spans="1:6" x14ac:dyDescent="0.2">
      <c r="A122">
        <v>4</v>
      </c>
      <c r="B122" t="s">
        <v>37</v>
      </c>
      <c r="E122">
        <v>4</v>
      </c>
      <c r="F122" t="s">
        <v>37</v>
      </c>
    </row>
    <row r="123" spans="1:6" x14ac:dyDescent="0.2">
      <c r="A123">
        <v>4</v>
      </c>
      <c r="B123" s="9" t="s">
        <v>37</v>
      </c>
      <c r="E123">
        <v>4</v>
      </c>
      <c r="F123" s="9" t="s">
        <v>37</v>
      </c>
    </row>
    <row r="124" spans="1:6" x14ac:dyDescent="0.2">
      <c r="A124">
        <v>4</v>
      </c>
      <c r="B124" s="9" t="s">
        <v>37</v>
      </c>
      <c r="E124">
        <v>4</v>
      </c>
      <c r="F124" s="9" t="s">
        <v>37</v>
      </c>
    </row>
    <row r="125" spans="1:6" x14ac:dyDescent="0.2">
      <c r="A125">
        <v>4</v>
      </c>
      <c r="B125" s="9" t="s">
        <v>37</v>
      </c>
      <c r="E125">
        <v>4</v>
      </c>
      <c r="F125" s="9" t="s">
        <v>37</v>
      </c>
    </row>
    <row r="126" spans="1:6" x14ac:dyDescent="0.2">
      <c r="A126">
        <v>4</v>
      </c>
      <c r="B126" s="9" t="s">
        <v>37</v>
      </c>
      <c r="E126">
        <v>4</v>
      </c>
      <c r="F126" s="9" t="s">
        <v>37</v>
      </c>
    </row>
    <row r="127" spans="1:6" x14ac:dyDescent="0.2">
      <c r="A127">
        <v>4</v>
      </c>
      <c r="B127" s="9" t="s">
        <v>37</v>
      </c>
      <c r="E127">
        <v>4</v>
      </c>
      <c r="F127" s="9" t="s">
        <v>37</v>
      </c>
    </row>
    <row r="128" spans="1:6" x14ac:dyDescent="0.2">
      <c r="A128">
        <v>4</v>
      </c>
      <c r="B128" s="9" t="s">
        <v>37</v>
      </c>
      <c r="E128">
        <v>4</v>
      </c>
      <c r="F128" s="9" t="s">
        <v>37</v>
      </c>
    </row>
    <row r="129" spans="1:6" x14ac:dyDescent="0.2">
      <c r="A129">
        <v>4</v>
      </c>
      <c r="B129" s="9" t="s">
        <v>37</v>
      </c>
      <c r="E129">
        <v>4</v>
      </c>
      <c r="F129" s="9" t="s">
        <v>37</v>
      </c>
    </row>
    <row r="130" spans="1:6" x14ac:dyDescent="0.2">
      <c r="A130">
        <v>4</v>
      </c>
      <c r="B130" s="9" t="s">
        <v>37</v>
      </c>
      <c r="E130">
        <v>4</v>
      </c>
      <c r="F130" s="9" t="s">
        <v>37</v>
      </c>
    </row>
    <row r="131" spans="1:6" x14ac:dyDescent="0.2">
      <c r="A131">
        <v>4</v>
      </c>
      <c r="B131" s="9" t="s">
        <v>37</v>
      </c>
      <c r="E131">
        <v>4</v>
      </c>
      <c r="F131" s="9" t="s">
        <v>37</v>
      </c>
    </row>
    <row r="132" spans="1:6" x14ac:dyDescent="0.2">
      <c r="A132">
        <v>4</v>
      </c>
      <c r="B132" s="9" t="s">
        <v>37</v>
      </c>
      <c r="E132">
        <v>4</v>
      </c>
      <c r="F132" s="9" t="s">
        <v>37</v>
      </c>
    </row>
    <row r="133" spans="1:6" x14ac:dyDescent="0.2">
      <c r="A133">
        <v>4</v>
      </c>
      <c r="B133" s="9" t="s">
        <v>37</v>
      </c>
      <c r="E133">
        <v>4</v>
      </c>
      <c r="F133" s="9" t="s">
        <v>37</v>
      </c>
    </row>
    <row r="134" spans="1:6" x14ac:dyDescent="0.2">
      <c r="A134">
        <v>4</v>
      </c>
      <c r="B134" s="9" t="s">
        <v>37</v>
      </c>
      <c r="E134">
        <v>4</v>
      </c>
      <c r="F134" s="9" t="s">
        <v>37</v>
      </c>
    </row>
    <row r="135" spans="1:6" x14ac:dyDescent="0.2">
      <c r="A135">
        <v>4</v>
      </c>
      <c r="B135" s="9" t="s">
        <v>37</v>
      </c>
      <c r="E135">
        <v>4</v>
      </c>
      <c r="F135" s="9" t="s">
        <v>37</v>
      </c>
    </row>
    <row r="136" spans="1:6" x14ac:dyDescent="0.2">
      <c r="A136">
        <v>4</v>
      </c>
      <c r="B136" s="9" t="s">
        <v>37</v>
      </c>
      <c r="E136">
        <v>4</v>
      </c>
      <c r="F136" s="9" t="s">
        <v>37</v>
      </c>
    </row>
    <row r="137" spans="1:6" x14ac:dyDescent="0.2">
      <c r="A137">
        <v>4</v>
      </c>
      <c r="B137" s="9" t="s">
        <v>37</v>
      </c>
      <c r="E137">
        <v>4</v>
      </c>
      <c r="F137" s="9" t="s">
        <v>37</v>
      </c>
    </row>
    <row r="138" spans="1:6" x14ac:dyDescent="0.2">
      <c r="A138">
        <v>4</v>
      </c>
      <c r="B138" s="9" t="s">
        <v>37</v>
      </c>
      <c r="E138">
        <v>4</v>
      </c>
      <c r="F138" s="9" t="s">
        <v>37</v>
      </c>
    </row>
    <row r="139" spans="1:6" x14ac:dyDescent="0.2">
      <c r="A139">
        <v>4</v>
      </c>
      <c r="B139" t="s">
        <v>37</v>
      </c>
      <c r="E139">
        <v>4</v>
      </c>
      <c r="F139" t="s">
        <v>37</v>
      </c>
    </row>
    <row r="140" spans="1:6" x14ac:dyDescent="0.2">
      <c r="A140">
        <v>4</v>
      </c>
      <c r="B140" s="9" t="s">
        <v>37</v>
      </c>
      <c r="E140">
        <v>4</v>
      </c>
      <c r="F140" s="9" t="s">
        <v>37</v>
      </c>
    </row>
    <row r="141" spans="1:6" x14ac:dyDescent="0.2">
      <c r="A141">
        <v>4</v>
      </c>
      <c r="B141" s="9" t="s">
        <v>37</v>
      </c>
      <c r="E141">
        <v>4</v>
      </c>
      <c r="F141" s="9" t="s">
        <v>37</v>
      </c>
    </row>
    <row r="142" spans="1:6" x14ac:dyDescent="0.2">
      <c r="A142">
        <v>4</v>
      </c>
      <c r="B142" s="9" t="s">
        <v>37</v>
      </c>
      <c r="E142">
        <v>4</v>
      </c>
      <c r="F142" s="9" t="s">
        <v>37</v>
      </c>
    </row>
    <row r="143" spans="1:6" x14ac:dyDescent="0.2">
      <c r="A143">
        <v>4</v>
      </c>
      <c r="B143" s="9" t="s">
        <v>37</v>
      </c>
      <c r="C143" s="10">
        <f>143-117</f>
        <v>26</v>
      </c>
      <c r="E143">
        <v>4</v>
      </c>
      <c r="F143" s="9" t="s">
        <v>37</v>
      </c>
    </row>
  </sheetData>
  <sortState xmlns:xlrd2="http://schemas.microsoft.com/office/spreadsheetml/2017/richdata2" ref="E1:F253">
    <sortCondition ref="E1:E253"/>
    <sortCondition ref="F1:F2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cio_px</vt:lpstr>
      <vt:lpstr>computeP</vt:lpstr>
      <vt:lpstr>computeP_rhyme only</vt:lpstr>
      <vt:lpstr>Sheet2</vt:lpstr>
      <vt:lpstr>Sheet3</vt:lpstr>
      <vt:lpstr>cio_px!cio_allPossible</vt:lpstr>
      <vt:lpstr>cio_px!cio_comparison</vt:lpstr>
      <vt:lpstr>computeP!cio_maxent</vt:lpstr>
      <vt:lpstr>'computeP_rhyme only'!cio_maxent</vt:lpstr>
      <vt:lpstr>Sheet2!cio_maxent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조혜선(교육학과)</cp:lastModifiedBy>
  <dcterms:created xsi:type="dcterms:W3CDTF">2018-08-15T02:39:02Z</dcterms:created>
  <dcterms:modified xsi:type="dcterms:W3CDTF">2025-02-16T14:42:29Z</dcterms:modified>
</cp:coreProperties>
</file>